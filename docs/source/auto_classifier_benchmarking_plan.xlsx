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rerequisites" sheetId="2" state="visible" r:id="rId4"/>
    <sheet name="Decisions" sheetId="3" state="visible" r:id="rId5"/>
    <sheet name="Timeline" sheetId="4" state="visible" r:id="rId6"/>
    <sheet name="Steps &amp; Prompts" sheetId="5" state="visible" r:id="rId7"/>
    <sheet name="Datasets" sheetId="6" state="visible" r:id="rId8"/>
    <sheet name="Risks" sheetId="7" state="visible" r:id="rId9"/>
    <sheet name="Deliverables &amp; Extras" sheetId="8" state="visible" r:id="rId10"/>
    <sheet name="Repo Structure" sheetId="9" state="visible" r:id="rId11"/>
    <sheet name="Working Tip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<sst xmlns="http://schemas.openxmlformats.org/spreadsheetml/2006/main" count="560" uniqueCount="351">
  <si>
    <t xml:space="preserve">Auto Classifier Benchmarking System: Development Plan</t>
  </si>
  <si>
    <t xml:space="preserve">Course of Independent Study 7CS 9281 | Alliance School of Advanced Computing</t>
  </si>
  <si>
    <t xml:space="preserve">What you are building</t>
  </si>
  <si>
    <t xml:space="preserve">A web app where a user uploads a tabular dataset and picks a target, metrics, time budget and priorities. The system profiles and preprocesses the data, trains ~8 classifiers with cross-validation and hyperparameter tuning, measures Accuracy, Precision, Recall, F1, ROC-AUC plus training and prediction time, ranks models with user-defined weights, recommends one model with an explanation, stores every run in a database, and produces interactive charts and a downloadable report. Novelty to protect: (1) integrated recommendation layer, (2) joint multi-metric + efficiency evaluation, (3) interactive reporting.</t>
  </si>
  <si>
    <t xml:space="preserve">Inputs (edit yellow cells)</t>
  </si>
  <si>
    <t xml:space="preserve">Project start date (Monday of week 1)</t>
  </si>
  <si>
    <t xml:space="preserve">Assumption: 5-Oct-2026, the first Monday after this plan was made. Change to your real start; Timeline dates update.</t>
  </si>
  <si>
    <t xml:space="preserve">Progress</t>
  </si>
  <si>
    <t xml:space="preserve">Area</t>
  </si>
  <si>
    <t xml:space="preserve">Done</t>
  </si>
  <si>
    <t xml:space="preserve">Total</t>
  </si>
  <si>
    <t xml:space="preserve">% complete</t>
  </si>
  <si>
    <t xml:space="preserve">Prerequisites</t>
  </si>
  <si>
    <t xml:space="preserve">Dev steps / prompts</t>
  </si>
  <si>
    <t xml:space="preserve">Weekly timeline</t>
  </si>
  <si>
    <t xml:space="preserve">Datasets downloaded</t>
  </si>
  <si>
    <t xml:space="preserve">Deliverables &amp; extras</t>
  </si>
  <si>
    <t xml:space="preserve">How to use this workbook</t>
  </si>
  <si>
    <t xml:space="preserve">1. Tick off 'Prerequisites' and freeze the 'Decisions' in week 1.</t>
  </si>
  <si>
    <t xml:space="preserve">2. Work through 'Steps &amp; Prompts' in ID order; paste AGENTS.md prompt (0A) first, then one prompt at a time.</t>
  </si>
  <si>
    <t xml:space="preserve">3. Update the Status dropdowns; this page's progress table recalculates automatically.</t>
  </si>
  <si>
    <t xml:space="preserve">4. Yellow cell = input you can edit (start date). Blue text = hardcoded input.</t>
  </si>
  <si>
    <t xml:space="preserve">5. Timeline dates (weeks 1 to 10) are assumptions: stretch or compress to your submission date.</t>
  </si>
  <si>
    <t xml:space="preserve">Category</t>
  </si>
  <si>
    <t xml:space="preserve">Item</t>
  </si>
  <si>
    <t xml:space="preserve">Details / recommendation</t>
  </si>
  <si>
    <t xml:space="preserve">Owner</t>
  </si>
  <si>
    <t xml:space="preserve">Status</t>
  </si>
  <si>
    <t xml:space="preserve">Hardware</t>
  </si>
  <si>
    <t xml:space="preserve">RAM</t>
  </si>
  <si>
    <t xml:space="preserve">Minimum 8 GB; recommended 16 GB</t>
  </si>
  <si>
    <t xml:space="preserve">Both</t>
  </si>
  <si>
    <t xml:space="preserve">Not started</t>
  </si>
  <si>
    <t xml:space="preserve">CPU</t>
  </si>
  <si>
    <t xml:space="preserve">Minimum 4 cores; recommended 8+ cores (parallel CV and Optuna)</t>
  </si>
  <si>
    <t xml:space="preserve">Disk</t>
  </si>
  <si>
    <t xml:space="preserve">Minimum 10 GB free; recommended 20 GB (datasets, Docker images, results)</t>
  </si>
  <si>
    <t xml:space="preserve">GPU</t>
  </si>
  <si>
    <t xml:space="preserve">Not needed (all models are classical)</t>
  </si>
  <si>
    <t xml:space="preserve">Software</t>
  </si>
  <si>
    <t xml:space="preserve">Python 3.10 or 3.11</t>
  </si>
  <si>
    <t xml:space="preserve">3.11 is the safest for all libraries</t>
  </si>
  <si>
    <t xml:space="preserve">Git + GitHub/GitLab account</t>
  </si>
  <si>
    <t xml:space="preserve">Private repo; both team members as collaborators</t>
  </si>
  <si>
    <t xml:space="preserve">IDE with AI agent</t>
  </si>
  <si>
    <t xml:space="preserve">Cursor, VS Code + Copilot/Claude Code, Windsurf, etc.</t>
  </si>
  <si>
    <t xml:space="preserve">Docker Desktop</t>
  </si>
  <si>
    <t xml:space="preserve">For final packaging and PostgreSQL</t>
  </si>
  <si>
    <t xml:space="preserve">PostgreSQL 15+</t>
  </si>
  <si>
    <t xml:space="preserve">Or use SQLite in development and switch later</t>
  </si>
  <si>
    <t xml:space="preserve">Node.js 18+</t>
  </si>
  <si>
    <t xml:space="preserve">Only if you choose React</t>
  </si>
  <si>
    <t xml:space="preserve">Accounts</t>
  </si>
  <si>
    <t xml:space="preserve">Kaggle account + API key</t>
  </si>
  <si>
    <t xml:space="preserve">Some datasets come from Kaggle</t>
  </si>
  <si>
    <t xml:space="preserve">Python libraries</t>
  </si>
  <si>
    <t xml:space="preserve">Core ML</t>
  </si>
  <si>
    <t xml:space="preserve">scikit-learn, pandas, numpy, scipy, xgboost, imbalanced-learn, optuna, joblib, openml</t>
  </si>
  <si>
    <t xml:space="preserve">Visualisation &amp; reporting</t>
  </si>
  <si>
    <t xml:space="preserve">plotly, matplotlib, seaborn, jinja2, kaleido (Plotly image export), weasyprint or pdfkit (PDF reports)</t>
  </si>
  <si>
    <t xml:space="preserve">Backend &amp; storage</t>
  </si>
  <si>
    <t xml:space="preserve">fastapi, uvicorn, pydantic, sqlalchemy, alembic, psycopg2-binary</t>
  </si>
  <si>
    <t xml:space="preserve">Frontend &amp; tooling</t>
  </si>
  <si>
    <t xml:space="preserve">streamlit, pytest, ruff; shap (optional)</t>
  </si>
  <si>
    <t xml:space="preserve">Datasets</t>
  </si>
  <si>
    <t xml:space="preserve">10 to 12 datasets downloaded</t>
  </si>
  <si>
    <t xml:space="preserve">Cover size, class balance, feature types and domains (see Datasets sheet)</t>
  </si>
  <si>
    <t xml:space="preserve">Use OpenML-CC18 for a few</t>
  </si>
  <si>
    <t xml:space="preserve">Makes results comparable with AMLB (reference [9] in your deck)</t>
  </si>
  <si>
    <t xml:space="preserve">Team</t>
  </si>
  <si>
    <t xml:space="preserve">Roles agreed</t>
  </si>
  <si>
    <t xml:space="preserve">Person A: ML core (steps 2-7). Person B: platform (steps 8-11). Together: steps 0, 1, 12, 13</t>
  </si>
  <si>
    <t xml:space="preserve">Technical trap</t>
  </si>
  <si>
    <t xml:space="preserve">Data leakage plan</t>
  </si>
  <si>
    <t xml:space="preserve">Scaling, encoding, imputation and SMOTE must be fit INSIDE each CV training fold (sklearn/imblearn Pipeline). SMOTE before the split inflates every score</t>
  </si>
  <si>
    <t xml:space="preserve">Fair timing plan</t>
  </si>
  <si>
    <t xml:space="preserve">SVM and KNN explode on large data: per-model timeouts, row sub-sampling rules, failure logging (record failed/timed-out models, do not crash)</t>
  </si>
  <si>
    <t xml:space="preserve">#</t>
  </si>
  <si>
    <t xml:space="preserve">Decision</t>
  </si>
  <si>
    <t xml:space="preserve">Recommendation</t>
  </si>
  <si>
    <t xml:space="preserve">Rationale / notes</t>
  </si>
  <si>
    <t xml:space="preserve">Frontend</t>
  </si>
  <si>
    <t xml:space="preserve">FastAPI backend + Streamlit frontend for the MVP</t>
  </si>
  <si>
    <t xml:space="preserve">Fastest route to a working demo; matches 'React or Streamlit' on your slide. Add React only if time remains.</t>
  </si>
  <si>
    <t xml:space="preserve">Database</t>
  </si>
  <si>
    <t xml:space="preserve">SQLite in development, PostgreSQL in Docker for the final demo</t>
  </si>
  <si>
    <t xml:space="preserve">SQLAlchemy makes the switch a config change.</t>
  </si>
  <si>
    <t xml:space="preserve">Hyperparameter search</t>
  </si>
  <si>
    <t xml:space="preserve">Optuna (TPE sampler) with a fixed trial budget per model; RandomizedSearchCV as selectable baseline</t>
  </si>
  <si>
    <t xml:space="preserve">Evaluation protocol</t>
  </si>
  <si>
    <t xml:space="preserve">Stratified 5-fold CV, fixed random seed, identical folds for all models, held-out test set for final scores</t>
  </si>
  <si>
    <t xml:space="preserve">Multiclass metrics</t>
  </si>
  <si>
    <t xml:space="preserve">Macro precision/recall/F1; ROC-AUC with ovr + macro; also report weighted versions</t>
  </si>
  <si>
    <t xml:space="preserve">Timing definition</t>
  </si>
  <si>
    <t xml:space="preserve">Training time = wall-clock fit() time; prediction time = seconds per 1,000 rows (median of repeated runs); fix n_jobs for all models and record it</t>
  </si>
  <si>
    <t xml:space="preserve">Ranking method</t>
  </si>
  <si>
    <t xml:space="preserve">Weighted sum of min-max normalised scores, plus TOPSIS and a Pareto front as alternatives</t>
  </si>
  <si>
    <t xml:space="preserve">Scope boundary</t>
  </si>
  <si>
    <t xml:space="preserve">Tabular classification only (binary and multiclass)</t>
  </si>
  <si>
    <t xml:space="preserve">Multilabel and multimodal stay in future work (your limitations slide says they are less mature).</t>
  </si>
  <si>
    <t xml:space="preserve">Week</t>
  </si>
  <si>
    <t xml:space="preserve">Starts</t>
  </si>
  <si>
    <t xml:space="preserve">Ends</t>
  </si>
  <si>
    <t xml:space="preserve">Step(s)</t>
  </si>
  <si>
    <t xml:space="preserve">Output</t>
  </si>
  <si>
    <t xml:space="preserve">Milestone</t>
  </si>
  <si>
    <t xml:space="preserve">0, 1</t>
  </si>
  <si>
    <t xml:space="preserve">Repo, environment, datasets, registry</t>
  </si>
  <si>
    <t xml:space="preserve">2, 3</t>
  </si>
  <si>
    <t xml:space="preserve">Profiler and leak-free preprocessing</t>
  </si>
  <si>
    <t xml:space="preserve">4, 5</t>
  </si>
  <si>
    <t xml:space="preserve">Model registry, benchmark engine v1 (CLI works end to end)</t>
  </si>
  <si>
    <t xml:space="preserve">5 (cont.), 6</t>
  </si>
  <si>
    <t xml:space="preserve">Tuning, timing, metrics aggregation</t>
  </si>
  <si>
    <t xml:space="preserve">MILESTONE: `python -m acbs.cli run --dataset adult --target income` prints a ranked table</t>
  </si>
  <si>
    <t xml:space="preserve">7</t>
  </si>
  <si>
    <t xml:space="preserve">Recommendation engine and explanations</t>
  </si>
  <si>
    <t xml:space="preserve">8, 9</t>
  </si>
  <si>
    <t xml:space="preserve">Database, visualisations and report</t>
  </si>
  <si>
    <t xml:space="preserve">10</t>
  </si>
  <si>
    <t xml:space="preserve">REST API</t>
  </si>
  <si>
    <t xml:space="preserve">11</t>
  </si>
  <si>
    <t xml:space="preserve">Streamlit UI</t>
  </si>
  <si>
    <t xml:space="preserve">12</t>
  </si>
  <si>
    <t xml:space="preserve">Full experiments, validation, tests</t>
  </si>
  <si>
    <t xml:space="preserve">13</t>
  </si>
  <si>
    <t xml:space="preserve">Docker, docs, final paper results, demo</t>
  </si>
  <si>
    <t xml:space="preserve">ID</t>
  </si>
  <si>
    <t xml:space="preserve">Step</t>
  </si>
  <si>
    <t xml:space="preserve">Title</t>
  </si>
  <si>
    <t xml:space="preserve">Goal</t>
  </si>
  <si>
    <t xml:space="preserve">Prompt for</t>
  </si>
  <si>
    <t xml:space="preserve">Prompt (copy into IDE agent)</t>
  </si>
  <si>
    <t xml:space="preserve">Done when</t>
  </si>
  <si>
    <t xml:space="preserve">0A</t>
  </si>
  <si>
    <t xml:space="preserve">0</t>
  </si>
  <si>
    <t xml:space="preserve">Project scaffold and agent context</t>
  </si>
  <si>
    <t xml:space="preserve">1</t>
  </si>
  <si>
    <t xml:space="preserve">A clean repo, reproducible environment, and a permanent context file for the agent.</t>
  </si>
  <si>
    <t xml:space="preserve">Create AGENTS.md (or .cursorrules for Cursor)</t>
  </si>
  <si>
    <t xml:space="preserve">Create an AGENTS.md at the repo root describing this project for any AI coding agent.
PROJECT: "Auto Classifier Benchmarking System" (package name: acbs). A system that takes a
tabular dataset + target column, preprocesses it, trains and tunes multiple classifiers
(Logistic Regression, SVM, Decision Tree, Random Forest, XGBoost, Gradient Boosting,
Naive Bayes, KNN) with stratified k-fold cross-validation, measures Accuracy, Precision,
Recall, F1, ROC-AUC, training time and prediction time, ranks models using user-defined
weights, recommends the best model with a textual explanation, stores every experiment in a
database, and presents interactive Plotly charts and a downloadable HTML/PDF report via a
FastAPI backend and Streamlit frontend.
RULES FOR THE AGENT:
- Python 3.11, type hints everywhere, docstrings on public functions, ruff-formatted.
- Never apply scaling/encoding/imputation/SMOTE outside a sklearn/imblearn Pipeline;
  all of it must be fit only on training folds (no data leakage).
- All randomness goes through a single seed from config (default 42).
- All models must be compared on identical CV folds.
- Never crash the whole benchmark when one model fails or times out; record status
  ("ok" | "failed" | "timeout") and the error message and continue.
- Config lives in configs/*.yaml, never hardcoded.
- Every module gets pytest tests in tests/ mirroring the src structure.
- Use logging, not print.
- Do not add dependencies without adding them to pyproject.toml.
- Keep functions small and pure where possible; business logic must not live in API or UI files.
Also include: repo structure (use the tree below), common commands (install, test,
lint, run API, run UI), and a "definition of done" checklist for any change.
[paste the repository tree from the 'Repo Structure' sheet]</t>
  </si>
  <si>
    <t xml:space="preserve">make test passes, CI is green, both teammates can clone and run.</t>
  </si>
  <si>
    <t xml:space="preserve">0B</t>
  </si>
  <si>
    <t xml:space="preserve">Scaffold the repository.</t>
  </si>
  <si>
    <t xml:space="preserve">Scaffold the repository</t>
  </si>
  <si>
    <t xml:space="preserve">Read AGENTS.md. Scaffold the repository exactly as described: create all folders with
__init__.py files, a pyproject.toml (use hatch or setuptools, package "acbs" under src/),
dependencies: scikit-learn, pandas, numpy, scipy, xgboost, imbalanced-learn, optuna, plotly,
matplotlib, seaborn, fastapi, uvicorn[standard], pydantic, pydantic-settings, sqlalchemy,
alembic, streamlit, pyyaml, jinja2, openml, joblib, typer; dev deps: pytest, pytest-cov, ruff,
mypy, pre-commit. Add: .gitignore (data/raw, __pycache__, .venv, *.db), a Makefile with
targets install/test/lint/api/ui, a ruff + pre-commit config, a GitHub Actions workflow that
runs ruff and pytest, and a minimal CLI entry point `acbs` (typer) with a `version` command.
Add one smoke test. Do not implement any business logic yet. Show me the commands to
create the venv and run the tests.</t>
  </si>
  <si>
    <t xml:space="preserve">Dataset registry and loader</t>
  </si>
  <si>
    <t xml:space="preserve">One consistent way to load any benchmark dataset.</t>
  </si>
  <si>
    <t xml:space="preserve">Registry + loader</t>
  </si>
  <si>
    <t xml:space="preserve">Implement src/acbs/data/loader.py and data/registry.yaml.
1. registry.yaml: list datasets with fields: name, source ("openml"|"uci"|"kaggle"|"local"),
   identifier (OpenML id / URL / path), target_column, domain (healthcare|finance|fraud|
   customer|general), task ("binary"|"multiclass"), and notes.
   Add entries for: breast_cancer, pima_diabetes, heart_disease, german_credit,
   bank_marketing, adult, telco_churn, credit_card_fraud, wine_quality, dry_bean,
   covertype_sample, stroke. Use OpenML ids where they exist.
2. loader.py:
   - load_dataset(name_or_path, target=None) -&gt; LoadedDataset (dataclass: X: DataFrame,
     y: Series, meta: dict) with caching to data/processed/ as parquet.
   - Supports OpenML (via openml package), local CSV/Excel/Parquet uploads, and registry names.
   - Validates: target exists, at least 2 classes, no all-null columns, minimum 50 rows;
     raises clear custom exceptions (DatasetError subclasses).
   - Strips whitespace from column names, parses obvious numeric-as-string columns,
     encodes the target with LabelEncoder and keeps the mapping in meta.
3. A script scripts/download_datasets.py that downloads everything in the registry.
4. Tests using small in-memory CSVs: valid load, missing target, single-class target,
   duplicate column names.
Do not do any preprocessing here (that is a later step).</t>
  </si>
  <si>
    <t xml:space="preserve">download_datasets.py pulls all datasets and load_dataset("adult") returns X, y.</t>
  </si>
  <si>
    <t xml:space="preserve">2</t>
  </si>
  <si>
    <t xml:space="preserve">Dataset profiler and meta-features</t>
  </si>
  <si>
    <t xml:space="preserve">Person A</t>
  </si>
  <si>
    <t xml:space="preserve">The 'analyzes data characteristics' part of the abstract; feeds explanations later.</t>
  </si>
  <si>
    <t xml:space="preserve">Profiler</t>
  </si>
  <si>
    <t xml:space="preserve">Implement src/acbs/data/profiler.py.
profile_dataset(X, y) -&gt; DatasetProfile (pydantic model, JSON serializable) containing:
- n_rows, n_features, n_numeric, n_categorical, n_high_cardinality_categorical (&gt;50 unique)
- missing_ratio overall and per column (top 10 worst), n_duplicate_rows
- class_distribution (counts and ratios), n_classes, imbalance_ratio (majority/minority),
  is_imbalanced (ratio &gt; 3 configurable), task_type (binary|multiclass)
- numeric stats: skewness summary, share of features with |skew|&gt;1, outlier share (IQR rule)
- dimensionality ratio (features/rows), estimated memory MB
- size_category: small (&lt;5k rows), medium (5k-100k), large (&gt;100k)
- warnings: list of human-readable strings (e.g. "Severe class imbalance 1:577",
  "3 columns have &gt;40% missing values", "Possible ID column: &lt;name&gt;")
Also detect likely ID columns (unique ratio &gt; 0.95 and integer/string) and constant columns,
and expose them as `suggested_drop_columns`.
Add a function profile_to_dict() and tests on synthetic data (balanced, imbalanced,
with missing values, with an ID column).</t>
  </si>
  <si>
    <t xml:space="preserve">Profiler returns correct warnings on all four synthetic test cases.</t>
  </si>
  <si>
    <t xml:space="preserve">3</t>
  </si>
  <si>
    <t xml:space="preserve">Leak-free preprocessing pipeline</t>
  </si>
  <si>
    <t xml:space="preserve">Data cleaning, feature engineering and imbalance handling (Data Preprocessing Module).</t>
  </si>
  <si>
    <t xml:space="preserve">Preprocessing + imbalance + splitter</t>
  </si>
  <si>
    <t xml:space="preserve">Implement src/acbs/preprocessing/pipeline.py and imbalance.py.
build_preprocessor(profile, config, model_family) -&gt; sklearn ColumnTransformer:
- numeric: SimpleImputer(median) -&gt; optional outlier clipping -&gt; scaler. Scaling is applied
  only for model families that need it (linear, svm, knn, naive_bayes-gaussian optional);
  tree-based models (decision tree, RF, GB, XGBoost) skip scaling.
- categorical: SimpleImputer(most_frequent) -&gt; OneHotEncoder(handle_unknown="ignore",
  min_frequency configurable) for cardinality &lt;= 15; for higher cardinality use
  TargetEncoder (sklearn &gt;= 1.3) or OrdinalEncoder. Make this threshold configurable.
- drop ID/constant columns from profile.suggested_drop_columns.
- optional feature selection (SelectKBest or variance threshold) controlled by config.
imbalance.py: get_imbalance_strategy(profile, config) returns one of "none" |
"class_weight" | "smote" | "random_under". Default rule: class_weight when imbalance
ratio &gt; 3; SMOTE only if user enables it and minority count &gt;= 6; never SMOTE on
datasets above a configurable row limit.
build_full_pipeline(model, preprocessor, imbalance_strategy) returns an
imblearn.pipeline.Pipeline where SMOTE (if used) is placed AFTER the preprocessor and only
runs on training folds. If strategy is class_weight, set class_weight="balanced" on
models that support it (and sample_weight handling note for XGBoost via scale_pos_weight).
Also create splitter.py with: make_holdout_split (stratified, 80/20) and
make_cv_splitter (StratifiedKFold, shuffled, seeded) so every model gets identical folds.
Write tests proving: no leakage (fit on train only, via checking transformer statistics),
unseen categories at predict time don't crash, tree models get no scaler, SMOTE runs only
inside fit.</t>
  </si>
  <si>
    <t xml:space="preserve">Leakage, unseen-category, no-scaler-for-trees and SMOTE-in-fit tests all pass.</t>
  </si>
  <si>
    <t xml:space="preserve">4</t>
  </si>
  <si>
    <t xml:space="preserve">Model registry and search spaces</t>
  </si>
  <si>
    <t xml:space="preserve">The 8 algorithms as plug-in components.</t>
  </si>
  <si>
    <t xml:space="preserve">Registry + search spaces</t>
  </si>
  <si>
    <t xml:space="preserve">Implement src/acbs/models/registry.py, search_spaces.py and configs/search_spaces.yaml.
registry.py:
- A ModelSpec dataclass: name, family ("linear"|"svm"|"tree"|"ensemble"|"boosting"|
  "naive_bayes"|"instance"), estimator_factory(params, seed, n_jobs), needs_scaling: bool,
  supports_class_weight: bool, supports_proba: bool, interpretability_score (1-5),
  scalability_note, max_rows (optional safety limit, e.g. SVM 20000, KNN 100000).
- register 8 models: LogisticRegression, SVC (probability=True; if rows &gt; max_rows use
  LinearSVC wrapped in CalibratedClassifierCV), DecisionTree, RandomForest, XGBoost,
  GradientBoosting (sklearn), GaussianNB, KNN.
- get_models(names=None) and an easy decorator/function to register extra models later.
search_spaces.py + YAML: Optuna search space per model with sensible ranges, e.g.
LR: C log-uniform 1e-3..1e2, penalty/solver combos; SVM: C, gamma, kernel (rbf/linear);
DT: max_depth, min_samples_split, min_samples_leaf, criterion; RF: n_estimators 100-500,
max_depth, max_features, min_samples_leaf; XGB: n_estimators, learning_rate log, max_depth,
subsample, colsample_bytree, reg_lambda; GB: n_estimators, learning_rate, max_depth,
subsample; NB: var_smoothing log; KNN: n_neighbors, weights, p.
Provide suggest_params(trial, model_name) for Optuna AND a RandomizedSearchCV-compatible
param_distributions dict from the same definition (single source of truth).
Tests: every registered model can fit and predict_proba on a toy dataset, and every search
space can be sampled.</t>
  </si>
  <si>
    <t xml:space="preserve">All 8 models fit/predict_proba on a toy dataset; all search spaces sample.</t>
  </si>
  <si>
    <t xml:space="preserve">5A</t>
  </si>
  <si>
    <t xml:space="preserve">5</t>
  </si>
  <si>
    <t xml:space="preserve">Benchmark engine: metrics and timing</t>
  </si>
  <si>
    <t xml:space="preserve">Metrics and timing for the Evaluation Module.</t>
  </si>
  <si>
    <t xml:space="preserve">Metrics + timing</t>
  </si>
  <si>
    <t xml:space="preserve">Implement src/acbs/benchmark/metrics.py and timing.py.
metrics.py: compute_metrics(y_true, y_pred, y_proba, classes) -&gt; dict with accuracy,
precision_macro, recall_macro, f1_macro, precision_weighted, recall_weighted, f1_weighted,
roc_auc (binary: roc_auc_score on positive-class proba; multiclass: multi_class="ovr",
average="macro"), plus balanced_accuracy and MCC. Handle edge cases: a class missing from a
fold (roc_auc -&gt; NaN, not a crash), zero_division=0, models without predict_proba
(fall back to decision_function with softmax, flag it). Also provide get_scorers() returning
the sklearn scorer dict for cross_validate.
timing.py: measure_training_time (context manager using time.perf_counter) and
measure_prediction_time(model, X, repeats=5, per=1000) returning median seconds per 1000
rows after one warm-up call. Record n_jobs used. Add unit tests with a dummy estimator
using time.sleep to verify timings within tolerance.</t>
  </si>
  <si>
    <t xml:space="preserve">Unit tests pass, including the missing-class and sleep-based timing tests.</t>
  </si>
  <si>
    <t xml:space="preserve">5B</t>
  </si>
  <si>
    <t xml:space="preserve">Benchmark engine: tuning and orchestration (heart of the project)</t>
  </si>
  <si>
    <t xml:space="preserve">3-4</t>
  </si>
  <si>
    <t xml:space="preserve">The Model Training &amp; Benchmarking Module.</t>
  </si>
  <si>
    <t xml:space="preserve">Engine + tuner + CLI</t>
  </si>
  <si>
    <t xml:space="preserve">Implement src/acbs/benchmark/engine.py and tuner.py.
BenchmarkConfig (pydantic): models list, cv_folds=5, seed, metrics_primary="f1_macro",
tuning ("none"|"optuna"|"random"), n_trials per model (default 20), time_budget_seconds
per model (default 300) and total budget, n_jobs, imbalance_strategy override, test_size.
tuner.py: tune_model(model_spec, X_train, y_train, preprocessor_factory, cfg) -&gt; best_params,
trials_history. Use Optuna TPE (seeded), optimize the primary metric via cross_val_score on
the SAME CV splitter, enforce a timeout, and use a MedianPruner where applicable. Provide the
RandomizedSearchCV alternative behind the same interface.
engine.py: run_benchmark(dataset: LoadedDataset, cfg, progress_callback=None) -&gt;
BenchmarkResult:
 1. profile the dataset; hold-out split.
 2. for each model: build the full pipeline, tune (if enabled) on train only, then run
    cross_validate with return_train_score=False on the training set to get per-fold metrics
    and fit_time, then refit on full train, evaluate on the hold-out test set, and measure
    final training time and prediction time (per 1000 rows).
 3. Wrap each model in try/except + timeout (use a subprocess/joblib timeout or Optuna
    timeout + a guard); on failure store status and error and continue.
 4. Skip or subsample models that exceed ModelSpec.max_rows, and record that decision in a
    "notes" field (never silently).
 5. Call progress_callback(model_name, step, total, message) so the UI can show progress.
 6. Return per-model: cv mean/std for every metric, test metrics, training_time,
    prediction_time_per_1k, best_params, status, notes, plus dataset profile and config
    (for reproducibility). Include library versions and seed in the result.
Parallelism: run folds in parallel with n_jobs but keep models sequential so that timings are
comparable. Document this decision in a docstring.
Add a CLI command `acbs run --dataset adult --target income --models all --tuning optuna`
that prints a results table (use rich or tabulate).
Tests: run the engine on a small synthetic dataset with 3 fast models and tuning="none";
check result structure, determinism with the same seed, and that a deliberately broken
model gets status="failed" without stopping the run.</t>
  </si>
  <si>
    <t xml:space="preserve">CLI produces a results table on Adult in reasonable time; results identical across two runs with the same seed.</t>
  </si>
  <si>
    <t xml:space="preserve">6</t>
  </si>
  <si>
    <t xml:space="preserve">Results aggregation and statistical comparison</t>
  </si>
  <si>
    <t xml:space="preserve">Make the comparison scientifically defensible.</t>
  </si>
  <si>
    <t xml:space="preserve">Aggregation + stats tests</t>
  </si>
  <si>
    <t xml:space="preserve">Implement src/acbs/benchmark/aggregate.py.
- results_to_dataframe(BenchmarkResult) -&gt; tidy DataFrame, one row per model.
- Per-fold score matrix extraction for statistical tests.
- compare_models_statistically(fold_scores): Friedman test across models when &gt;= 3 models
  and &gt;= 5 folds is not enough power, so also provide pairwise corrected resampled t-test
  (Nadeau-Bengio) and a Wilcoxon signed-rank fallback; return p-values and a flag
  "statistically_tied_with_best".
- For multi-dataset experiments (used later in step 12): compute average rank per model
  across datasets and a Nemenyi/critical-difference style summary.
- rank_by_metric(df, metric) with ties handled by average rank.
Tests with synthetic fold scores where one model is clearly better and where two are tied.</t>
  </si>
  <si>
    <t xml:space="preserve">Tests pass for the clear-winner and tied-models synthetic cases.</t>
  </si>
  <si>
    <t xml:space="preserve">Recommendation engine (main novelty)</t>
  </si>
  <si>
    <t xml:space="preserve">Turn numbers into 'use model X, because...'.</t>
  </si>
  <si>
    <t xml:space="preserve">Scoring + explanation</t>
  </si>
  <si>
    <t xml:space="preserve">Implement src/acbs/recommend/scoring.py and explain.py.
UserPreferences (pydantic): weights for accuracy/f1/precision/recall/roc_auc/train_time/
predict_time/interpretability (non-negative, auto-normalised to sum 1), constraints
(max_training_time_s, max_prediction_time_ms_per_1k, min_recall, min_precision), method
("weighted_sum"|"topsis"), preset ("balanced"|"max_accuracy"|"fast_inference"|
"interpretable"|"imbalance_safe" where imbalance_safe emphasises recall and F1).
scoring.py:
- normalize(): min-max for benefit metrics, inverted min-max for cost metrics (time),
  use log-scale for time before normalising so one very slow model doesn't flatten the rest.
- score_models(results_df, prefs) -&gt; DataFrame with a composite score and rank; apply hard
  constraints first (violating models are marked "excluded" with the reason).
- TOPSIS implementation as an alternative.
- pareto_front(results_df, x="training_time", y="f1_macro") returns the non-dominated models.
- sensitivity_analysis(results_df, prefs): perturb weights +-20% repeatedly and report how
  often each model stays rank 1 (a "recommendation stability" percentage).
explain.py: generate_explanation(rec, results_df, profile, prefs) -&gt; structured object with
a headline ("Recommended: XGBoost"), a 3-5 sentence plain-English reason built from templates
(strongest metrics vs runner-up, time trade-offs, whether it is statistically tied with the
runner-up, stability %), caveats (e.g. "Dataset is highly imbalanced; accuracy is
misleading, ranking emphasised F1"), and a "why not" line for 2 other models. Use
deterministic templates, NOT an LLM, so results are reproducible.
Tests: changing weights from accuracy to speed changes the winner on a crafted results table;
constraints exclude models; the Pareto front is correct on a hand-made example.</t>
  </si>
  <si>
    <t xml:space="preserve">Weight changes flip the winner on the crafted table; constraints exclude models; Pareto front correct.</t>
  </si>
  <si>
    <t xml:space="preserve">8</t>
  </si>
  <si>
    <t xml:space="preserve">Experiment tracking database</t>
  </si>
  <si>
    <t xml:space="preserve">Person B</t>
  </si>
  <si>
    <t xml:space="preserve">Persistent storage (PostgreSQL/MySQL on your slide).</t>
  </si>
  <si>
    <t xml:space="preserve">SQLAlchemy models + repository</t>
  </si>
  <si>
    <t xml:space="preserve">Implement src/acbs/storage/models.py and repository.py with SQLAlchemy 2.0 and Alembic.
Tables: datasets (id, name, source, n_rows, n_features, profile_json, file_hash, created_at),
experiments (id, dataset_id, config_json, preferences_json, status, started_at, finished_at,
seed, lib_versions_json), model_runs (id, experiment_id, model_name, status, error, notes,
cv_metrics_json, test_metrics_json, training_time, prediction_time_per_1k, best_params_json,
fold_scores_json), recommendations (id, experiment_id, model_name, score_table_json,
explanation_json, stability_pct).
Use SQLite by default and a DATABASE_URL env var for PostgreSQL. Provide a Repository class
with: create_experiment, update_status, save_results, save_recommendation, get_experiment,
list_experiments(filters), delete_experiment, and load_result_as_dataframe. Create the first
Alembic migration. Dedupe uploaded datasets by file hash. Write tests against an in-memory
SQLite database. No business logic in this layer.</t>
  </si>
  <si>
    <t xml:space="preserve">Repository tests pass on in-memory SQLite; migration applies cleanly.</t>
  </si>
  <si>
    <t xml:space="preserve">9</t>
  </si>
  <si>
    <t xml:space="preserve">Visualisation and report generation</t>
  </si>
  <si>
    <t xml:space="preserve">The Visualization &amp; Reporting Module.</t>
  </si>
  <si>
    <t xml:space="preserve">Charts + report</t>
  </si>
  <si>
    <t xml:space="preserve">Implement src/acbs/reporting/charts.py, report.py and templates/report.html.j2.
charts.py (all return plotly Figure objects):
- performance_bar(df, metric) and grouped_metrics_bar(df)
- metric_radar(df, models, metrics) (normalised 0-1)
- time_comparison(df) (training vs prediction time, log y-axis option)
- accuracy_vs_time_scatter(df) with the Pareto front highlighted and bubble size = F1
- cv_boxplot(fold_scores) showing variance across folds
- confusion_matrix_heatmap(y_true, y_pred) for a chosen model (store hold-out predictions
  in the results so this works)
- roc_curves(...) for binary tasks, and a feature-importance chart for tree/linear models
- score_breakdown_stacked_bar(scored_df) showing each metric's weighted contribution to the
  final score (this explains the recommendation visually)
report.py: build_html_report(experiment) -&gt; a single self-contained HTML file (embed Plotly
via include_plotlyjs="cdn" or inline option) with sections: dataset summary and warnings,
configuration, results table, charts, recommendation and explanation, failed/skipped models,
reproducibility info (seed, versions). Add export_pdf(experiment) using weasyprint (optional
dependency; degrade gracefully if missing) and export_csv/json.
Use a clean, consistent colour palette and accessible colour choices. Tests: every chart
function returns a Figure on a fixture results DataFrame; the report renders without errors
and contains the recommended model name.</t>
  </si>
  <si>
    <t xml:space="preserve">Every chart returns a Figure on the fixture; report renders and contains the recommended model name.</t>
  </si>
  <si>
    <t xml:space="preserve">Backend for the web app.</t>
  </si>
  <si>
    <t xml:space="preserve">FastAPI app</t>
  </si>
  <si>
    <t xml:space="preserve">Implement the FastAPI app in src/acbs/api/ (main.py, schemas.py, routes/).
Endpoints:
- POST /datasets (multipart upload; returns dataset id + profile + warnings; max size from
  config) and GET /datasets, GET /datasets/{id}, GET /datasets/registry (built-in ones)
- POST /experiments (dataset id, target, BenchmarkConfig, UserPreferences) -&gt; returns
  experiment id immediately and runs the benchmark in a background worker (use
  concurrent.futures ProcessPoolExecutor or Celery-less background tasks; keep it simple but
  not blocking the event loop)
- GET /experiments/{id}/status (progress %, current model, messages) -- store progress in the DB
- GET /experiments/{id}/results, GET /experiments/{id}/recommendation
- POST /experiments/{id}/rerank (new preferences, NO retraining; recompute the ranking only)
- GET /experiments/{id}/report?format=html|pdf|csv|json
- GET /experiments (history), DELETE /experiments/{id}
- GET /health
Use Pydantic request/response models, proper HTTP error codes, CORS, request-size limits,
filename sanitisation on upload, and structured logging. Endpoints must be thin and call the
service layers from earlier steps. Add API tests with TestClient covering: upload -&gt; run on a
small dataset -&gt; poll -&gt; get results -&gt; rerank with different weights returns a different
ranking.</t>
  </si>
  <si>
    <t xml:space="preserve">API test flow passes. NOTE: /rerank lets users change priorities and instantly see a new recommendation without retraining (strong demo moment).</t>
  </si>
  <si>
    <t xml:space="preserve">Streamlit user interface</t>
  </si>
  <si>
    <t xml:space="preserve">The User Interface (Web Application) box in your diagram.</t>
  </si>
  <si>
    <t xml:space="preserve">Streamlit app</t>
  </si>
  <si>
    <t xml:space="preserve">Build the Streamlit frontend in app/streamlit_app.py plus app/pages/ and app/components/.
It talks ONLY to the FastAPI backend through a small api_client.py (requests).
Pages:
1. "New Benchmark": choose a built-in dataset or upload CSV; show a dataset profile card
   (rows, features, types, missing %, class balance chart, warnings); select the target
   column (auto-suggest last column), select models (multiselect, all by default), metrics,
   CV folds, tuning method and trial count, time budget; priorities via a preset dropdown AND
   advanced sliders for weights; optional constraints. A "Run benchmark" button.
2. "Progress": poll the status endpoint, show a progress bar and per-model status table
   (ok/failed/timeout/running) with st.status or auto-refresh.
3. "Results": leaderboard table (sortable, with conditional colour), tabs for Performance,
   Time analysis, Radar, Accuracy-vs-Time Pareto, CV variance, and a model-detail view
   (confusion matrix, ROC, feature importance, best params). The recommendation card at the
   top shows the winning model, the explanation text, and the stability percentage. Changing
   the weight sliders calls /rerank and updates the ranking and charts live.
4. "History": list past experiments with filters, open, delete, and compare two experiments.
5. "Export": download HTML, PDF, CSV, JSON.
Include loading states, friendly error messages, and a sidebar with a short help text for
each metric. Keep UI code free of ML logic. Add a docs/ui_walkthrough.md with screenshots
placeholders. Provide a manual test checklist for the page flow.</t>
  </si>
  <si>
    <t xml:space="preserve">Manual page-flow checklist passes end to end. (If you later choose React, keep the FastAPI contract unchanged and replace only this step.)</t>
  </si>
  <si>
    <t xml:space="preserve">12A</t>
  </si>
  <si>
    <t xml:space="preserve">Full experiment runner and analysis (paper results)</t>
  </si>
  <si>
    <t xml:space="preserve">Prove the system works and generate evidence for the paper.</t>
  </si>
  <si>
    <t xml:space="preserve">Run all datasets + notebook</t>
  </si>
  <si>
    <t xml:space="preserve">Create scripts/run_full_experiments.py and notebooks/results_analysis.ipynb.
The script runs the benchmark on all datasets in data/registry.yaml with three user
preference presets (balanced, max_accuracy, fast_inference), fixed seed 42, 5-fold CV and
Optuna with 20 trials, saves everything to the DB and to results/*.csv. It must be resumable
(skip finished dataset+config pairs), log failures, and print a final summary.
The notebook loads the results and produces paper-ready figures and tables: (1) mean
rank of each model across datasets with a critical-difference style plot, (2) accuracy vs
training-time scatter per dataset, (3) a table showing how the recommended model CHANGES
with preferences (this directly supports your novelty claim), (4) performance on imbalanced
datasets showing accuracy vs F1/recall divergence, (5) recommendation stability across
datasets, (6) runtime scaling vs dataset size.
Export figures as 300-dpi PNG/SVG into results/figures/.</t>
  </si>
  <si>
    <t xml:space="preserve">results/*.csv and results/figures/ populated for all datasets.</t>
  </si>
  <si>
    <t xml:space="preserve">12B</t>
  </si>
  <si>
    <t xml:space="preserve">Validation against an AutoML baseline (optional but strong)</t>
  </si>
  <si>
    <t xml:space="preserve">Show the recommended model is competitive with an AutoML tool.</t>
  </si>
  <si>
    <t xml:space="preserve">Compare with FLAML/AutoGluon</t>
  </si>
  <si>
    <t xml:space="preserve">Add scripts/compare_with_automl.py that, for 4-5 datasets, runs FLAML (or auto-sklearn
if installable, otherwise AutoGluon-Tabular) with the same time budget and the same hold-out
split as our system, and compares the hold-out F1/accuracy of (a) our top-1 recommended model
and (b) the AutoML framework's best model. Output a CSV and a figure. The goal is to show
that our recommended model is competitive (not necessarily better) while also providing
multi-metric trade-offs and explanations that the AutoML tool does not. Document the
fairness setup (same split, same budget, same seed) in docs/validation.md.</t>
  </si>
  <si>
    <t xml:space="preserve">Comparison CSV + figure produced; docs/validation.md written.</t>
  </si>
  <si>
    <t xml:space="preserve">12C</t>
  </si>
  <si>
    <t xml:space="preserve">Test hardening</t>
  </si>
  <si>
    <t xml:space="preserve">Raise quality and catch edge-case bugs.</t>
  </si>
  <si>
    <t xml:space="preserve">Review + tests</t>
  </si>
  <si>
    <t xml:space="preserve">Review the whole repo for gaps. Increase test coverage to &gt;= 80% on src/acbs. Add: property
tests for scoring normalisation, regression tests with stored golden results for a tiny
dataset, a data-leakage test, tests for edge cases (single-feature dataset, 2-class highly
imbalanced dataset with 10 minority samples, all-categorical dataset, dataset with a
constant column, string target labels, numeric target with 50 unique values -&gt; reject as
regression), and a performance smoke test. List any bugs you find and fix them.</t>
  </si>
  <si>
    <t xml:space="preserve">Coverage &gt;= 80% and all edge-case tests pass.</t>
  </si>
  <si>
    <t xml:space="preserve">13A</t>
  </si>
  <si>
    <t xml:space="preserve">Docker packaging</t>
  </si>
  <si>
    <t xml:space="preserve">Reproducible deployment.</t>
  </si>
  <si>
    <t xml:space="preserve">Dockerfile + compose</t>
  </si>
  <si>
    <t xml:space="preserve">Create a Dockerfile (multi-stage, python:3.11-slim) and docker-compose.yml with services:
api (FastAPI), ui (Streamlit), db (PostgreSQL 15 with a volume), all configured via a
.env.example. Run Alembic migrations on API startup. Add healthchecks and a make target
`make up`. Verify that `docker compose up` yields a working app at localhost with a
built-in dataset benchmark running end to end. Document it in README.</t>
  </si>
  <si>
    <t xml:space="preserve">docker compose up gives a working app with a benchmark running end to end.</t>
  </si>
  <si>
    <t xml:space="preserve">13B</t>
  </si>
  <si>
    <t xml:space="preserve">Documentation</t>
  </si>
  <si>
    <t xml:space="preserve">Final documentation.</t>
  </si>
  <si>
    <t xml:space="preserve">README + docs</t>
  </si>
  <si>
    <t xml:space="preserve">Write README.md (overview, architecture diagram in mermaid matching our modules, quick
start with and without Docker, CLI examples, configuration reference, how to add a new model,
how the recommendation scoring works, limitations), docs/architecture.md, docs/api.md
(generated from the OpenAPI schema), and docs/reproducibility.md. Add a CITATION-style note.
Include a "Known limitations" section: tabular classification only, hold-out size,
timing depends on hardware, no multilabel/multimodal support.</t>
  </si>
  <si>
    <t xml:space="preserve">README, architecture, API and reproducibility docs complete.</t>
  </si>
  <si>
    <t xml:space="preserve">Domain</t>
  </si>
  <si>
    <t xml:space="preserve">Dataset</t>
  </si>
  <si>
    <t xml:space="preserve">Source</t>
  </si>
  <si>
    <t xml:space="preserve">Task</t>
  </si>
  <si>
    <t xml:space="preserve">Why it is useful</t>
  </si>
  <si>
    <t xml:space="preserve">Downloaded?</t>
  </si>
  <si>
    <t xml:space="preserve">Healthcare</t>
  </si>
  <si>
    <t xml:space="preserve">Breast Cancer Wisconsin</t>
  </si>
  <si>
    <t xml:space="preserve">UCI / OpenML</t>
  </si>
  <si>
    <t xml:space="preserve">Binary</t>
  </si>
  <si>
    <t xml:space="preserve">Small, clean</t>
  </si>
  <si>
    <t xml:space="preserve">No</t>
  </si>
  <si>
    <t xml:space="preserve">Pima Indians Diabetes</t>
  </si>
  <si>
    <t xml:space="preserve">Small, missing-as-zero values</t>
  </si>
  <si>
    <t xml:space="preserve">Heart Disease</t>
  </si>
  <si>
    <t xml:space="preserve">UCI</t>
  </si>
  <si>
    <t xml:space="preserve">Small, mixed types</t>
  </si>
  <si>
    <t xml:space="preserve">Healthcare (imbalanced)</t>
  </si>
  <si>
    <t xml:space="preserve">Stroke Prediction</t>
  </si>
  <si>
    <t xml:space="preserve">Kaggle</t>
  </si>
  <si>
    <t xml:space="preserve">Strong class imbalance</t>
  </si>
  <si>
    <t xml:space="preserve">Finance</t>
  </si>
  <si>
    <t xml:space="preserve">German Credit</t>
  </si>
  <si>
    <t xml:space="preserve">Mixed numeric/categorical</t>
  </si>
  <si>
    <t xml:space="preserve">Bank Marketing</t>
  </si>
  <si>
    <t xml:space="preserve">Mixed numeric/categorical, imbalanced</t>
  </si>
  <si>
    <t xml:space="preserve">Adult / Census Income</t>
  </si>
  <si>
    <t xml:space="preserve">Mixed types; used for the week-4 milestone</t>
  </si>
  <si>
    <t xml:space="preserve">Fraud</t>
  </si>
  <si>
    <t xml:space="preserve">Credit Card Fraud (284k rows, 0.17% fraud)</t>
  </si>
  <si>
    <t xml:space="preserve">Extreme imbalance, large</t>
  </si>
  <si>
    <t xml:space="preserve">Customer analytics</t>
  </si>
  <si>
    <t xml:space="preserve">Telco Customer Churn</t>
  </si>
  <si>
    <t xml:space="preserve">Categorical heavy</t>
  </si>
  <si>
    <t xml:space="preserve">Multiclass</t>
  </si>
  <si>
    <t xml:space="preserve">Wine Quality</t>
  </si>
  <si>
    <t xml:space="preserve">Dry Bean</t>
  </si>
  <si>
    <t xml:space="preserve">Covertype (sample)</t>
  </si>
  <si>
    <t xml:space="preserve">Multiclass, large (sample it)</t>
  </si>
  <si>
    <t xml:space="preserve">Letter Recognition</t>
  </si>
  <si>
    <t xml:space="preserve">Many classes</t>
  </si>
  <si>
    <t xml:space="preserve">Risk</t>
  </si>
  <si>
    <t xml:space="preserve">Mitigation</t>
  </si>
  <si>
    <t xml:space="preserve">Benchmark takes too long (SVM/KNN on large data)</t>
  </si>
  <si>
    <t xml:space="preserve">Per-model timeout, max_rows rule, sub-sampling note, 20 Optuna trials default, 'quick mode' for demos</t>
  </si>
  <si>
    <t xml:space="preserve">Inflated scores from leakage</t>
  </si>
  <si>
    <t xml:space="preserve">Pipelines only; leakage test in Step 3</t>
  </si>
  <si>
    <t xml:space="preserve">Agent writes huge, unfocused code</t>
  </si>
  <si>
    <t xml:space="preserve">One step per prompt, 'only implement listed files', commit after every step</t>
  </si>
  <si>
    <t xml:space="preserve">Results not reproducible</t>
  </si>
  <si>
    <t xml:space="preserve">Single seed, stored config and library versions, identical folds</t>
  </si>
  <si>
    <t xml:space="preserve">Streamlit feels slow when rerunning</t>
  </si>
  <si>
    <t xml:space="preserve">Cache API results with st.cache_data; use /rerank instead of retraining</t>
  </si>
  <si>
    <t xml:space="preserve">Scope creep (deep learning, multilabel, NLP)</t>
  </si>
  <si>
    <t xml:space="preserve">Keep in Future Work; your own slide lists them as limitations</t>
  </si>
  <si>
    <t xml:space="preserve">Timings noisy</t>
  </si>
  <si>
    <t xml:space="preserve">Median of repeats, warm-up call, fixed n_jobs, close other apps while running experiments</t>
  </si>
  <si>
    <t xml:space="preserve">Type</t>
  </si>
  <si>
    <t xml:space="preserve">Final deliverable</t>
  </si>
  <si>
    <t xml:space="preserve">Working demo (Docker or local) with 2 prepared datasets for the live demo</t>
  </si>
  <si>
    <t xml:space="preserve">Source repo with README and tests passing in CI</t>
  </si>
  <si>
    <t xml:space="preserve">Results tables and figures from Step 12</t>
  </si>
  <si>
    <t xml:space="preserve">Updated paper: add Methodology, Implementation, Results, Discussion, Conclusion, Future Work (draft currently has Abstract, Introduction, References only)</t>
  </si>
  <si>
    <t xml:space="preserve">Demo video (3 to 5 minutes) as backup for live-demo failure</t>
  </si>
  <si>
    <t xml:space="preserve">Final presentation slides (fill the empty 'Project work plan and timeline' slide from the Timeline sheet)</t>
  </si>
  <si>
    <t xml:space="preserve">Optional extension</t>
  </si>
  <si>
    <t xml:space="preserve">Meta-learning recommender: predict a good model from dataset meta-features before training everything (refs [5], [14])</t>
  </si>
  <si>
    <t xml:space="preserve">SHAP-based explanations for the recommended model</t>
  </si>
  <si>
    <t xml:space="preserve">Regression support (same architecture)</t>
  </si>
  <si>
    <t xml:space="preserve">Authentication and multi-user workspaces</t>
  </si>
  <si>
    <t xml:space="preserve">React frontend replacing Streamlit</t>
  </si>
  <si>
    <t xml:space="preserve">Threshold tuning for imbalanced datasets (cost-sensitive decision threshold)</t>
  </si>
  <si>
    <t xml:space="preserve">Suggested repository structure</t>
  </si>
  <si>
    <t xml:space="preserve">auto-classifier-benchmark/</t>
  </si>
  <si>
    <t xml:space="preserve">├── AGENTS.md                 # master context for the IDE agent (Step 0)</t>
  </si>
  <si>
    <t xml:space="preserve">├── pyproject.toml</t>
  </si>
  <si>
    <t xml:space="preserve">├── docker-compose.yml</t>
  </si>
  <si>
    <t xml:space="preserve">├── configs/</t>
  </si>
  <si>
    <t xml:space="preserve">│   ├── default.yaml          # models, metrics, CV folds, budgets</t>
  </si>
  <si>
    <t xml:space="preserve">│   └── search_spaces.yaml</t>
  </si>
  <si>
    <t xml:space="preserve">├── data/</t>
  </si>
  <si>
    <t xml:space="preserve">│   ├── raw/  processed/  registry.yaml</t>
  </si>
  <si>
    <t xml:space="preserve">├── src/acbs/</t>
  </si>
  <si>
    <t xml:space="preserve">│   ├── data/          loader.py, profiler.py, splitter.py</t>
  </si>
  <si>
    <t xml:space="preserve">│   ├── preprocessing/ pipeline.py, imbalance.py</t>
  </si>
  <si>
    <t xml:space="preserve">│   ├── models/        registry.py, search_spaces.py</t>
  </si>
  <si>
    <t xml:space="preserve">│   ├── benchmark/     engine.py, metrics.py, timing.py, tuner.py</t>
  </si>
  <si>
    <t xml:space="preserve">│   ├── recommend/     scoring.py, explain.py</t>
  </si>
  <si>
    <t xml:space="preserve">│   ├── storage/       models.py, repository.py</t>
  </si>
  <si>
    <t xml:space="preserve">│   ├── reporting/     charts.py, report.py, templates/</t>
  </si>
  <si>
    <t xml:space="preserve">│   ├── api/           main.py, schemas.py, routes/</t>
  </si>
  <si>
    <t xml:space="preserve">│   └── utils/         logging.py, seeds.py</t>
  </si>
  <si>
    <t xml:space="preserve">├── app/streamlit_app.py</t>
  </si>
  <si>
    <t xml:space="preserve">├── tests/</t>
  </si>
  <si>
    <t xml:space="preserve">├── notebooks/         # experiments for the paper</t>
  </si>
  <si>
    <t xml:space="preserve">└── docs/</t>
  </si>
  <si>
    <t xml:space="preserve">Working method with an IDE agent</t>
  </si>
  <si>
    <t xml:space="preserve">Always start a session with: "Read AGENTS.md and the files in src/acbs/&lt;module&gt; first."</t>
  </si>
  <si>
    <t xml:space="preserve">One prompt = one module. Review the diff before accepting. Run tests yourself.</t>
  </si>
  <si>
    <t xml:space="preserve">If something fails, paste the FULL error and the failing test back, not a summary.</t>
  </si>
  <si>
    <t xml:space="preserve">After each step ask: "Review the code you just wrote for data leakage, unhandled exceptions, hardcoded values, and missing tests. List issues, then fix them."</t>
  </si>
  <si>
    <t xml:space="preserve">Keep a docs/decisions.md log; it becomes raw material for the Methodology section of your paper.</t>
  </si>
  <si>
    <t xml:space="preserve">Commit per step with clear messages, e.g. feat(benchmark): add metrics and timing.</t>
  </si>
  <si>
    <t xml:space="preserve">If the agent produces too much, say: "Only implement the files listed. Do not add extra features."</t>
  </si>
</sst>
</file>

<file path=xl/styles.xml><?xml version="1.0" encoding="utf-8"?>
<styleSheet xmlns="http://schemas.openxmlformats.org/spreadsheetml/2006/main">
  <numFmts count="4">
    <numFmt numFmtId="164" formatCode="General"/>
    <numFmt numFmtId="165" formatCode="dd\-mmm\-yyyy"/>
    <numFmt numFmtId="166" formatCode="General"/>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name val="Arial"/>
      <family val="0"/>
      <charset val="1"/>
    </font>
    <font>
      <sz val="1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sz val="9"/>
      <name val="Consolas"/>
      <family val="0"/>
      <charset val="1"/>
    </font>
    <font>
      <sz val="10"/>
      <name val="Consolas"/>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006100"/>
      </font>
      <fill>
        <patternFill>
          <bgColor rgb="FFC6EFCE"/>
        </patternFill>
      </fill>
    </dxf>
    <dxf>
      <font>
        <name val="Arial"/>
        <charset val="1"/>
        <family val="0"/>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4"/>
    <col collapsed="false" customWidth="true" hidden="false" outlineLevel="0" max="4" min="4" style="0" width="7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81.75" hidden="false" customHeight="true" outlineLevel="0" collapsed="false">
      <c r="A5" s="4" t="s">
        <v>3</v>
      </c>
      <c r="B5" s="4"/>
      <c r="C5" s="4"/>
      <c r="D5" s="4"/>
    </row>
    <row r="7" customFormat="false" ht="15" hidden="false" customHeight="false" outlineLevel="0" collapsed="false">
      <c r="A7" s="3" t="s">
        <v>4</v>
      </c>
    </row>
    <row r="8" customFormat="false" ht="22.35" hidden="false" customHeight="false" outlineLevel="0" collapsed="false">
      <c r="A8" s="5" t="s">
        <v>5</v>
      </c>
      <c r="B8" s="6" t="n">
        <v>46300</v>
      </c>
      <c r="D8" s="7" t="s">
        <v>6</v>
      </c>
    </row>
    <row r="10" customFormat="false" ht="15" hidden="false" customHeight="false" outlineLevel="0" collapsed="false">
      <c r="A10" s="3" t="s">
        <v>7</v>
      </c>
    </row>
    <row r="11" customFormat="false" ht="15" hidden="false" customHeight="false" outlineLevel="0" collapsed="false">
      <c r="A11" s="8" t="s">
        <v>8</v>
      </c>
      <c r="B11" s="8" t="s">
        <v>9</v>
      </c>
      <c r="C11" s="8" t="s">
        <v>10</v>
      </c>
      <c r="D11" s="8" t="s">
        <v>11</v>
      </c>
    </row>
    <row r="12" customFormat="false" ht="15" hidden="false" customHeight="false" outlineLevel="0" collapsed="false">
      <c r="A12" s="9" t="s">
        <v>12</v>
      </c>
      <c r="B12" s="10" t="n">
        <f aca="false">COUNTIF(Prerequisites!E2:E21,"Done")</f>
        <v>0</v>
      </c>
      <c r="C12" s="10" t="n">
        <f aca="false">COUNTA(Prerequisites!B2:B21)</f>
        <v>20</v>
      </c>
      <c r="D12" s="11" t="n">
        <f aca="false">IF(C12=0,0,B12/C12)</f>
        <v>0</v>
      </c>
    </row>
    <row r="13" customFormat="false" ht="15" hidden="false" customHeight="false" outlineLevel="0" collapsed="false">
      <c r="A13" s="9" t="s">
        <v>13</v>
      </c>
      <c r="B13" s="10" t="n">
        <f aca="false">COUNTIF('Steps &amp; Prompts'!J2:J20,"Done")</f>
        <v>0</v>
      </c>
      <c r="C13" s="10" t="n">
        <f aca="false">COUNTA('Steps &amp; Prompts'!A2:A20)</f>
        <v>19</v>
      </c>
      <c r="D13" s="11" t="n">
        <f aca="false">IF(C13=0,0,B13/C13)</f>
        <v>0</v>
      </c>
    </row>
    <row r="14" customFormat="false" ht="15" hidden="false" customHeight="false" outlineLevel="0" collapsed="false">
      <c r="A14" s="9" t="s">
        <v>14</v>
      </c>
      <c r="B14" s="10" t="n">
        <f aca="false">COUNTIF(Timeline!G2:G11,"Done")</f>
        <v>0</v>
      </c>
      <c r="C14" s="10" t="n">
        <f aca="false">COUNTA(Timeline!A2:A11)</f>
        <v>10</v>
      </c>
      <c r="D14" s="11" t="n">
        <f aca="false">IF(C14=0,0,B14/C14)</f>
        <v>0</v>
      </c>
    </row>
    <row r="15" customFormat="false" ht="15" hidden="false" customHeight="false" outlineLevel="0" collapsed="false">
      <c r="A15" s="9" t="s">
        <v>15</v>
      </c>
      <c r="B15" s="10" t="n">
        <f aca="false">COUNTIF(Datasets!F2:F14,"Yes")</f>
        <v>0</v>
      </c>
      <c r="C15" s="10" t="n">
        <f aca="false">COUNTA(Datasets!B2:B14)</f>
        <v>13</v>
      </c>
      <c r="D15" s="11" t="n">
        <f aca="false">IF(C15=0,0,B15/C15)</f>
        <v>0</v>
      </c>
    </row>
    <row r="16" customFormat="false" ht="15" hidden="false" customHeight="false" outlineLevel="0" collapsed="false">
      <c r="A16" s="9" t="s">
        <v>16</v>
      </c>
      <c r="B16" s="10" t="n">
        <f aca="false">COUNTIF('Deliverables &amp; Extras'!C2:C13,"Done")</f>
        <v>0</v>
      </c>
      <c r="C16" s="10" t="n">
        <f aca="false">COUNTA('Deliverables &amp; Extras'!B2:B13)</f>
        <v>12</v>
      </c>
      <c r="D16" s="11" t="n">
        <f aca="false">IF(C16=0,0,B16/C16)</f>
        <v>0</v>
      </c>
    </row>
    <row r="18" customFormat="false" ht="15" hidden="false" customHeight="false" outlineLevel="0" collapsed="false">
      <c r="A18" s="3" t="s">
        <v>17</v>
      </c>
    </row>
    <row r="19" customFormat="false" ht="15" hidden="false" customHeight="false" outlineLevel="0" collapsed="false">
      <c r="A19" s="12" t="s">
        <v>18</v>
      </c>
      <c r="B19" s="12"/>
      <c r="C19" s="12"/>
      <c r="D19" s="12"/>
    </row>
    <row r="20" customFormat="false" ht="15" hidden="false" customHeight="false" outlineLevel="0" collapsed="false">
      <c r="A20" s="12" t="s">
        <v>19</v>
      </c>
      <c r="B20" s="12"/>
      <c r="C20" s="12"/>
      <c r="D20" s="12"/>
    </row>
    <row r="21" customFormat="false" ht="15" hidden="false" customHeight="false" outlineLevel="0" collapsed="false">
      <c r="A21" s="12" t="s">
        <v>20</v>
      </c>
      <c r="B21" s="12"/>
      <c r="C21" s="12"/>
      <c r="D21" s="12"/>
    </row>
    <row r="22" customFormat="false" ht="15" hidden="false" customHeight="false" outlineLevel="0" collapsed="false">
      <c r="A22" s="12" t="s">
        <v>21</v>
      </c>
      <c r="B22" s="12"/>
      <c r="C22" s="12"/>
      <c r="D22" s="12"/>
    </row>
    <row r="23" customFormat="false" ht="15" hidden="false" customHeight="false" outlineLevel="0" collapsed="false">
      <c r="A23" s="12" t="s">
        <v>22</v>
      </c>
      <c r="B23" s="12"/>
      <c r="C23" s="12"/>
      <c r="D23" s="12"/>
    </row>
  </sheetData>
  <mergeCells count="6">
    <mergeCell ref="A5:D5"/>
    <mergeCell ref="A19:D19"/>
    <mergeCell ref="A20:D20"/>
    <mergeCell ref="A21:D21"/>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80"/>
    <col collapsed="false" customWidth="true" hidden="false" outlineLevel="0" max="4" min="4" style="0" width="10"/>
    <col collapsed="false" customWidth="true" hidden="false" outlineLevel="0" max="5" min="5" style="0" width="14"/>
  </cols>
  <sheetData>
    <row r="1" customFormat="false" ht="24" hidden="false" customHeight="true" outlineLevel="0" collapsed="false">
      <c r="A1" s="13" t="s">
        <v>23</v>
      </c>
      <c r="B1" s="13" t="s">
        <v>24</v>
      </c>
      <c r="C1" s="13" t="s">
        <v>25</v>
      </c>
      <c r="D1" s="13" t="s">
        <v>26</v>
      </c>
      <c r="E1" s="13" t="s">
        <v>27</v>
      </c>
    </row>
    <row r="2" customFormat="false" ht="18" hidden="false" customHeight="true" outlineLevel="0" collapsed="false">
      <c r="A2" s="14" t="s">
        <v>28</v>
      </c>
      <c r="B2" s="14" t="s">
        <v>29</v>
      </c>
      <c r="C2" s="14" t="s">
        <v>30</v>
      </c>
      <c r="D2" s="14" t="s">
        <v>31</v>
      </c>
      <c r="E2" s="14" t="s">
        <v>32</v>
      </c>
    </row>
    <row r="3" customFormat="false" ht="18" hidden="false" customHeight="true" outlineLevel="0" collapsed="false">
      <c r="A3" s="14" t="s">
        <v>28</v>
      </c>
      <c r="B3" s="14" t="s">
        <v>33</v>
      </c>
      <c r="C3" s="14" t="s">
        <v>34</v>
      </c>
      <c r="D3" s="14" t="s">
        <v>31</v>
      </c>
      <c r="E3" s="14" t="s">
        <v>32</v>
      </c>
    </row>
    <row r="4" customFormat="false" ht="18" hidden="false" customHeight="true" outlineLevel="0" collapsed="false">
      <c r="A4" s="14" t="s">
        <v>28</v>
      </c>
      <c r="B4" s="14" t="s">
        <v>35</v>
      </c>
      <c r="C4" s="14" t="s">
        <v>36</v>
      </c>
      <c r="D4" s="14" t="s">
        <v>31</v>
      </c>
      <c r="E4" s="14" t="s">
        <v>32</v>
      </c>
    </row>
    <row r="5" customFormat="false" ht="18" hidden="false" customHeight="true" outlineLevel="0" collapsed="false">
      <c r="A5" s="14" t="s">
        <v>28</v>
      </c>
      <c r="B5" s="14" t="s">
        <v>37</v>
      </c>
      <c r="C5" s="14" t="s">
        <v>38</v>
      </c>
      <c r="D5" s="14" t="s">
        <v>31</v>
      </c>
      <c r="E5" s="14" t="s">
        <v>32</v>
      </c>
    </row>
    <row r="6" customFormat="false" ht="18" hidden="false" customHeight="true" outlineLevel="0" collapsed="false">
      <c r="A6" s="14" t="s">
        <v>39</v>
      </c>
      <c r="B6" s="14" t="s">
        <v>40</v>
      </c>
      <c r="C6" s="14" t="s">
        <v>41</v>
      </c>
      <c r="D6" s="14" t="s">
        <v>31</v>
      </c>
      <c r="E6" s="14" t="s">
        <v>32</v>
      </c>
    </row>
    <row r="7" customFormat="false" ht="18" hidden="false" customHeight="true" outlineLevel="0" collapsed="false">
      <c r="A7" s="14" t="s">
        <v>39</v>
      </c>
      <c r="B7" s="14" t="s">
        <v>42</v>
      </c>
      <c r="C7" s="14" t="s">
        <v>43</v>
      </c>
      <c r="D7" s="14" t="s">
        <v>31</v>
      </c>
      <c r="E7" s="14" t="s">
        <v>32</v>
      </c>
    </row>
    <row r="8" customFormat="false" ht="18" hidden="false" customHeight="true" outlineLevel="0" collapsed="false">
      <c r="A8" s="14" t="s">
        <v>39</v>
      </c>
      <c r="B8" s="14" t="s">
        <v>44</v>
      </c>
      <c r="C8" s="14" t="s">
        <v>45</v>
      </c>
      <c r="D8" s="14" t="s">
        <v>31</v>
      </c>
      <c r="E8" s="14" t="s">
        <v>32</v>
      </c>
    </row>
    <row r="9" customFormat="false" ht="18" hidden="false" customHeight="true" outlineLevel="0" collapsed="false">
      <c r="A9" s="14" t="s">
        <v>39</v>
      </c>
      <c r="B9" s="14" t="s">
        <v>46</v>
      </c>
      <c r="C9" s="14" t="s">
        <v>47</v>
      </c>
      <c r="D9" s="14" t="s">
        <v>31</v>
      </c>
      <c r="E9" s="14" t="s">
        <v>32</v>
      </c>
    </row>
    <row r="10" customFormat="false" ht="18" hidden="false" customHeight="true" outlineLevel="0" collapsed="false">
      <c r="A10" s="14" t="s">
        <v>39</v>
      </c>
      <c r="B10" s="14" t="s">
        <v>48</v>
      </c>
      <c r="C10" s="14" t="s">
        <v>49</v>
      </c>
      <c r="D10" s="14" t="s">
        <v>31</v>
      </c>
      <c r="E10" s="14" t="s">
        <v>32</v>
      </c>
    </row>
    <row r="11" customFormat="false" ht="18" hidden="false" customHeight="true" outlineLevel="0" collapsed="false">
      <c r="A11" s="14" t="s">
        <v>39</v>
      </c>
      <c r="B11" s="14" t="s">
        <v>50</v>
      </c>
      <c r="C11" s="14" t="s">
        <v>51</v>
      </c>
      <c r="D11" s="14" t="s">
        <v>31</v>
      </c>
      <c r="E11" s="14" t="s">
        <v>32</v>
      </c>
    </row>
    <row r="12" customFormat="false" ht="18" hidden="false" customHeight="true" outlineLevel="0" collapsed="false">
      <c r="A12" s="14" t="s">
        <v>52</v>
      </c>
      <c r="B12" s="14" t="s">
        <v>53</v>
      </c>
      <c r="C12" s="14" t="s">
        <v>54</v>
      </c>
      <c r="D12" s="14" t="s">
        <v>31</v>
      </c>
      <c r="E12" s="14" t="s">
        <v>32</v>
      </c>
    </row>
    <row r="13" customFormat="false" ht="18" hidden="false" customHeight="true" outlineLevel="0" collapsed="false">
      <c r="A13" s="14" t="s">
        <v>55</v>
      </c>
      <c r="B13" s="14" t="s">
        <v>56</v>
      </c>
      <c r="C13" s="14" t="s">
        <v>57</v>
      </c>
      <c r="D13" s="14" t="s">
        <v>31</v>
      </c>
      <c r="E13" s="14" t="s">
        <v>32</v>
      </c>
    </row>
    <row r="14" customFormat="false" ht="30.75" hidden="false" customHeight="true" outlineLevel="0" collapsed="false">
      <c r="A14" s="14" t="s">
        <v>55</v>
      </c>
      <c r="B14" s="14" t="s">
        <v>58</v>
      </c>
      <c r="C14" s="14" t="s">
        <v>59</v>
      </c>
      <c r="D14" s="14" t="s">
        <v>31</v>
      </c>
      <c r="E14" s="14" t="s">
        <v>32</v>
      </c>
    </row>
    <row r="15" customFormat="false" ht="18" hidden="false" customHeight="true" outlineLevel="0" collapsed="false">
      <c r="A15" s="14" t="s">
        <v>55</v>
      </c>
      <c r="B15" s="14" t="s">
        <v>60</v>
      </c>
      <c r="C15" s="14" t="s">
        <v>61</v>
      </c>
      <c r="D15" s="14" t="s">
        <v>31</v>
      </c>
      <c r="E15" s="14" t="s">
        <v>32</v>
      </c>
    </row>
    <row r="16" customFormat="false" ht="18" hidden="false" customHeight="true" outlineLevel="0" collapsed="false">
      <c r="A16" s="14" t="s">
        <v>55</v>
      </c>
      <c r="B16" s="14" t="s">
        <v>62</v>
      </c>
      <c r="C16" s="14" t="s">
        <v>63</v>
      </c>
      <c r="D16" s="14" t="s">
        <v>31</v>
      </c>
      <c r="E16" s="14" t="s">
        <v>32</v>
      </c>
    </row>
    <row r="17" customFormat="false" ht="18" hidden="false" customHeight="true" outlineLevel="0" collapsed="false">
      <c r="A17" s="14" t="s">
        <v>64</v>
      </c>
      <c r="B17" s="14" t="s">
        <v>65</v>
      </c>
      <c r="C17" s="14" t="s">
        <v>66</v>
      </c>
      <c r="D17" s="14" t="s">
        <v>31</v>
      </c>
      <c r="E17" s="14" t="s">
        <v>32</v>
      </c>
    </row>
    <row r="18" customFormat="false" ht="18" hidden="false" customHeight="true" outlineLevel="0" collapsed="false">
      <c r="A18" s="14" t="s">
        <v>64</v>
      </c>
      <c r="B18" s="14" t="s">
        <v>67</v>
      </c>
      <c r="C18" s="14" t="s">
        <v>68</v>
      </c>
      <c r="D18" s="14" t="s">
        <v>31</v>
      </c>
      <c r="E18" s="14" t="s">
        <v>32</v>
      </c>
    </row>
    <row r="19" customFormat="false" ht="30.75" hidden="false" customHeight="true" outlineLevel="0" collapsed="false">
      <c r="A19" s="14" t="s">
        <v>69</v>
      </c>
      <c r="B19" s="14" t="s">
        <v>70</v>
      </c>
      <c r="C19" s="14" t="s">
        <v>71</v>
      </c>
      <c r="D19" s="14" t="s">
        <v>31</v>
      </c>
      <c r="E19" s="14" t="s">
        <v>32</v>
      </c>
    </row>
    <row r="20" customFormat="false" ht="30.75" hidden="false" customHeight="true" outlineLevel="0" collapsed="false">
      <c r="A20" s="14" t="s">
        <v>72</v>
      </c>
      <c r="B20" s="14" t="s">
        <v>73</v>
      </c>
      <c r="C20" s="14" t="s">
        <v>74</v>
      </c>
      <c r="D20" s="14" t="s">
        <v>31</v>
      </c>
      <c r="E20" s="14" t="s">
        <v>32</v>
      </c>
    </row>
    <row r="21" customFormat="false" ht="30.75" hidden="false" customHeight="true" outlineLevel="0" collapsed="false">
      <c r="A21" s="14" t="s">
        <v>72</v>
      </c>
      <c r="B21" s="14" t="s">
        <v>75</v>
      </c>
      <c r="C21" s="14" t="s">
        <v>76</v>
      </c>
      <c r="D21" s="14" t="s">
        <v>31</v>
      </c>
      <c r="E21" s="14" t="s">
        <v>32</v>
      </c>
    </row>
  </sheetData>
  <conditionalFormatting sqref="E2:E21">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true" errorStyle="stop" operator="between" showDropDown="false" showErrorMessage="false" showInputMessage="false" sqref="E2:E21"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70"/>
    <col collapsed="false" customWidth="true" hidden="false" outlineLevel="0" max="4" min="4" style="0" width="60"/>
  </cols>
  <sheetData>
    <row r="1" customFormat="false" ht="24" hidden="false" customHeight="true" outlineLevel="0" collapsed="false">
      <c r="A1" s="13" t="s">
        <v>77</v>
      </c>
      <c r="B1" s="13" t="s">
        <v>78</v>
      </c>
      <c r="C1" s="13" t="s">
        <v>79</v>
      </c>
      <c r="D1" s="13" t="s">
        <v>80</v>
      </c>
    </row>
    <row r="2" customFormat="false" ht="30.75" hidden="false" customHeight="true" outlineLevel="0" collapsed="false">
      <c r="A2" s="14" t="n">
        <v>1</v>
      </c>
      <c r="B2" s="14" t="s">
        <v>81</v>
      </c>
      <c r="C2" s="14" t="s">
        <v>82</v>
      </c>
      <c r="D2" s="14" t="s">
        <v>83</v>
      </c>
    </row>
    <row r="3" customFormat="false" ht="18" hidden="false" customHeight="true" outlineLevel="0" collapsed="false">
      <c r="A3" s="14" t="n">
        <v>2</v>
      </c>
      <c r="B3" s="14" t="s">
        <v>84</v>
      </c>
      <c r="C3" s="14" t="s">
        <v>85</v>
      </c>
      <c r="D3" s="14" t="s">
        <v>86</v>
      </c>
    </row>
    <row r="4" customFormat="false" ht="30.75" hidden="false" customHeight="true" outlineLevel="0" collapsed="false">
      <c r="A4" s="14" t="n">
        <v>3</v>
      </c>
      <c r="B4" s="14" t="s">
        <v>87</v>
      </c>
      <c r="C4" s="14" t="s">
        <v>88</v>
      </c>
      <c r="D4" s="14"/>
    </row>
    <row r="5" customFormat="false" ht="30.75" hidden="false" customHeight="true" outlineLevel="0" collapsed="false">
      <c r="A5" s="14" t="n">
        <v>4</v>
      </c>
      <c r="B5" s="14" t="s">
        <v>89</v>
      </c>
      <c r="C5" s="14" t="s">
        <v>90</v>
      </c>
      <c r="D5" s="14"/>
    </row>
    <row r="6" customFormat="false" ht="30.75" hidden="false" customHeight="true" outlineLevel="0" collapsed="false">
      <c r="A6" s="14" t="n">
        <v>5</v>
      </c>
      <c r="B6" s="14" t="s">
        <v>91</v>
      </c>
      <c r="C6" s="14" t="s">
        <v>92</v>
      </c>
      <c r="D6" s="14"/>
    </row>
    <row r="7" customFormat="false" ht="30.75" hidden="false" customHeight="true" outlineLevel="0" collapsed="false">
      <c r="A7" s="14" t="n">
        <v>6</v>
      </c>
      <c r="B7" s="14" t="s">
        <v>93</v>
      </c>
      <c r="C7" s="14" t="s">
        <v>94</v>
      </c>
      <c r="D7" s="14"/>
    </row>
    <row r="8" customFormat="false" ht="30.75" hidden="false" customHeight="true" outlineLevel="0" collapsed="false">
      <c r="A8" s="14" t="n">
        <v>7</v>
      </c>
      <c r="B8" s="14" t="s">
        <v>95</v>
      </c>
      <c r="C8" s="14" t="s">
        <v>96</v>
      </c>
      <c r="D8" s="14"/>
    </row>
    <row r="9" customFormat="false" ht="30.75" hidden="false" customHeight="true" outlineLevel="0" collapsed="false">
      <c r="A9" s="14" t="n">
        <v>8</v>
      </c>
      <c r="B9" s="14" t="s">
        <v>97</v>
      </c>
      <c r="C9" s="14" t="s">
        <v>98</v>
      </c>
      <c r="D9" s="14"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3"/>
    <col collapsed="false" customWidth="true" hidden="false" outlineLevel="0" max="4" min="4" style="0" width="14"/>
    <col collapsed="false" customWidth="true" hidden="false" outlineLevel="0" max="5" min="5" style="0" width="50"/>
    <col collapsed="false" customWidth="true" hidden="false" outlineLevel="0" max="6" min="6" style="0" width="60"/>
    <col collapsed="false" customWidth="true" hidden="false" outlineLevel="0" max="7" min="7" style="0" width="14"/>
  </cols>
  <sheetData>
    <row r="1" customFormat="false" ht="24" hidden="false" customHeight="true" outlineLevel="0" collapsed="false">
      <c r="A1" s="13" t="s">
        <v>100</v>
      </c>
      <c r="B1" s="13" t="s">
        <v>101</v>
      </c>
      <c r="C1" s="13" t="s">
        <v>102</v>
      </c>
      <c r="D1" s="13" t="s">
        <v>103</v>
      </c>
      <c r="E1" s="13" t="s">
        <v>104</v>
      </c>
      <c r="F1" s="13" t="s">
        <v>105</v>
      </c>
      <c r="G1" s="13" t="s">
        <v>27</v>
      </c>
    </row>
    <row r="2" customFormat="false" ht="30.75" hidden="false" customHeight="true" outlineLevel="0" collapsed="false">
      <c r="A2" s="15" t="n">
        <v>1</v>
      </c>
      <c r="B2" s="16" t="n">
        <f aca="false">Overview!$B$8+7*(A2-1)</f>
        <v>46300</v>
      </c>
      <c r="C2" s="16" t="n">
        <f aca="false">B2+6</f>
        <v>46306</v>
      </c>
      <c r="D2" s="14" t="s">
        <v>106</v>
      </c>
      <c r="E2" s="14" t="s">
        <v>107</v>
      </c>
      <c r="F2" s="14"/>
      <c r="G2" s="14" t="s">
        <v>32</v>
      </c>
    </row>
    <row r="3" customFormat="false" ht="30.75" hidden="false" customHeight="true" outlineLevel="0" collapsed="false">
      <c r="A3" s="15" t="n">
        <v>2</v>
      </c>
      <c r="B3" s="16" t="n">
        <f aca="false">Overview!$B$8+7*(A3-1)</f>
        <v>46307</v>
      </c>
      <c r="C3" s="16" t="n">
        <f aca="false">B3+6</f>
        <v>46313</v>
      </c>
      <c r="D3" s="14" t="s">
        <v>108</v>
      </c>
      <c r="E3" s="14" t="s">
        <v>109</v>
      </c>
      <c r="F3" s="14"/>
      <c r="G3" s="14" t="s">
        <v>32</v>
      </c>
    </row>
    <row r="4" customFormat="false" ht="30.75" hidden="false" customHeight="true" outlineLevel="0" collapsed="false">
      <c r="A4" s="15" t="n">
        <v>3</v>
      </c>
      <c r="B4" s="16" t="n">
        <f aca="false">Overview!$B$8+7*(A4-1)</f>
        <v>46314</v>
      </c>
      <c r="C4" s="16" t="n">
        <f aca="false">B4+6</f>
        <v>46320</v>
      </c>
      <c r="D4" s="14" t="s">
        <v>110</v>
      </c>
      <c r="E4" s="14" t="s">
        <v>111</v>
      </c>
      <c r="F4" s="14"/>
      <c r="G4" s="14" t="s">
        <v>32</v>
      </c>
    </row>
    <row r="5" customFormat="false" ht="30.75" hidden="false" customHeight="true" outlineLevel="0" collapsed="false">
      <c r="A5" s="15" t="n">
        <v>4</v>
      </c>
      <c r="B5" s="16" t="n">
        <f aca="false">Overview!$B$8+7*(A5-1)</f>
        <v>46321</v>
      </c>
      <c r="C5" s="16" t="n">
        <f aca="false">B5+6</f>
        <v>46327</v>
      </c>
      <c r="D5" s="14" t="s">
        <v>112</v>
      </c>
      <c r="E5" s="14" t="s">
        <v>113</v>
      </c>
      <c r="F5" s="14" t="s">
        <v>114</v>
      </c>
      <c r="G5" s="14" t="s">
        <v>32</v>
      </c>
    </row>
    <row r="6" customFormat="false" ht="30.75" hidden="false" customHeight="true" outlineLevel="0" collapsed="false">
      <c r="A6" s="15" t="n">
        <v>5</v>
      </c>
      <c r="B6" s="16" t="n">
        <f aca="false">Overview!$B$8+7*(A6-1)</f>
        <v>46328</v>
      </c>
      <c r="C6" s="16" t="n">
        <f aca="false">B6+6</f>
        <v>46334</v>
      </c>
      <c r="D6" s="14" t="s">
        <v>115</v>
      </c>
      <c r="E6" s="14" t="s">
        <v>116</v>
      </c>
      <c r="F6" s="14"/>
      <c r="G6" s="14" t="s">
        <v>32</v>
      </c>
    </row>
    <row r="7" customFormat="false" ht="30.75" hidden="false" customHeight="true" outlineLevel="0" collapsed="false">
      <c r="A7" s="15" t="n">
        <v>6</v>
      </c>
      <c r="B7" s="16" t="n">
        <f aca="false">Overview!$B$8+7*(A7-1)</f>
        <v>46335</v>
      </c>
      <c r="C7" s="16" t="n">
        <f aca="false">B7+6</f>
        <v>46341</v>
      </c>
      <c r="D7" s="14" t="s">
        <v>117</v>
      </c>
      <c r="E7" s="14" t="s">
        <v>118</v>
      </c>
      <c r="F7" s="14"/>
      <c r="G7" s="14" t="s">
        <v>32</v>
      </c>
    </row>
    <row r="8" customFormat="false" ht="30.75" hidden="false" customHeight="true" outlineLevel="0" collapsed="false">
      <c r="A8" s="15" t="n">
        <v>7</v>
      </c>
      <c r="B8" s="16" t="n">
        <f aca="false">Overview!$B$8+7*(A8-1)</f>
        <v>46342</v>
      </c>
      <c r="C8" s="16" t="n">
        <f aca="false">B8+6</f>
        <v>46348</v>
      </c>
      <c r="D8" s="14" t="s">
        <v>119</v>
      </c>
      <c r="E8" s="14" t="s">
        <v>120</v>
      </c>
      <c r="F8" s="14"/>
      <c r="G8" s="14" t="s">
        <v>32</v>
      </c>
    </row>
    <row r="9" customFormat="false" ht="30.75" hidden="false" customHeight="true" outlineLevel="0" collapsed="false">
      <c r="A9" s="15" t="n">
        <v>8</v>
      </c>
      <c r="B9" s="16" t="n">
        <f aca="false">Overview!$B$8+7*(A9-1)</f>
        <v>46349</v>
      </c>
      <c r="C9" s="16" t="n">
        <f aca="false">B9+6</f>
        <v>46355</v>
      </c>
      <c r="D9" s="14" t="s">
        <v>121</v>
      </c>
      <c r="E9" s="14" t="s">
        <v>122</v>
      </c>
      <c r="F9" s="14"/>
      <c r="G9" s="14" t="s">
        <v>32</v>
      </c>
    </row>
    <row r="10" customFormat="false" ht="30.75" hidden="false" customHeight="true" outlineLevel="0" collapsed="false">
      <c r="A10" s="15" t="n">
        <v>9</v>
      </c>
      <c r="B10" s="16" t="n">
        <f aca="false">Overview!$B$8+7*(A10-1)</f>
        <v>46356</v>
      </c>
      <c r="C10" s="16" t="n">
        <f aca="false">B10+6</f>
        <v>46362</v>
      </c>
      <c r="D10" s="14" t="s">
        <v>123</v>
      </c>
      <c r="E10" s="14" t="s">
        <v>124</v>
      </c>
      <c r="F10" s="14"/>
      <c r="G10" s="14" t="s">
        <v>32</v>
      </c>
    </row>
    <row r="11" customFormat="false" ht="30.75" hidden="false" customHeight="true" outlineLevel="0" collapsed="false">
      <c r="A11" s="15" t="n">
        <v>10</v>
      </c>
      <c r="B11" s="16" t="n">
        <f aca="false">Overview!$B$8+7*(A11-1)</f>
        <v>46363</v>
      </c>
      <c r="C11" s="16" t="n">
        <f aca="false">B11+6</f>
        <v>46369</v>
      </c>
      <c r="D11" s="14" t="s">
        <v>125</v>
      </c>
      <c r="E11" s="14" t="s">
        <v>126</v>
      </c>
      <c r="F11" s="14"/>
      <c r="G11" s="14" t="s">
        <v>32</v>
      </c>
    </row>
  </sheetData>
  <conditionalFormatting sqref="G2:G11">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true" errorStyle="stop" operator="between" showDropDown="false" showErrorMessage="false" showInputMessage="false" sqref="G2:G11"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28"/>
    <col collapsed="false" customWidth="true" hidden="false" outlineLevel="0" max="4" min="4" style="0" width="7"/>
    <col collapsed="false" customWidth="true" hidden="false" outlineLevel="0" max="5" min="5" style="0" width="10"/>
    <col collapsed="false" customWidth="true" hidden="false" outlineLevel="0" max="6" min="6" style="0" width="34"/>
    <col collapsed="false" customWidth="true" hidden="false" outlineLevel="0" max="7" min="7" style="0" width="26"/>
    <col collapsed="false" customWidth="true" hidden="false" outlineLevel="0" max="8" min="8" style="0" width="120"/>
    <col collapsed="false" customWidth="true" hidden="false" outlineLevel="0" max="9" min="9" style="0" width="40"/>
    <col collapsed="false" customWidth="true" hidden="false" outlineLevel="0" max="10" min="10" style="0" width="14"/>
  </cols>
  <sheetData>
    <row r="1" customFormat="false" ht="24" hidden="false" customHeight="true" outlineLevel="0" collapsed="false">
      <c r="A1" s="13" t="s">
        <v>127</v>
      </c>
      <c r="B1" s="13" t="s">
        <v>128</v>
      </c>
      <c r="C1" s="13" t="s">
        <v>129</v>
      </c>
      <c r="D1" s="13" t="s">
        <v>100</v>
      </c>
      <c r="E1" s="13" t="s">
        <v>26</v>
      </c>
      <c r="F1" s="13" t="s">
        <v>130</v>
      </c>
      <c r="G1" s="13" t="s">
        <v>131</v>
      </c>
      <c r="H1" s="13" t="s">
        <v>132</v>
      </c>
      <c r="I1" s="13" t="s">
        <v>133</v>
      </c>
      <c r="J1" s="13" t="s">
        <v>27</v>
      </c>
    </row>
    <row r="2" customFormat="false" ht="381.75" hidden="false" customHeight="true" outlineLevel="0" collapsed="false">
      <c r="A2" s="14" t="s">
        <v>134</v>
      </c>
      <c r="B2" s="14" t="s">
        <v>135</v>
      </c>
      <c r="C2" s="14" t="s">
        <v>136</v>
      </c>
      <c r="D2" s="14" t="s">
        <v>137</v>
      </c>
      <c r="E2" s="14" t="s">
        <v>31</v>
      </c>
      <c r="F2" s="14" t="s">
        <v>138</v>
      </c>
      <c r="G2" s="14" t="s">
        <v>139</v>
      </c>
      <c r="H2" s="17" t="s">
        <v>140</v>
      </c>
      <c r="I2" s="14" t="s">
        <v>141</v>
      </c>
      <c r="J2" s="14" t="s">
        <v>32</v>
      </c>
    </row>
    <row r="3" customFormat="false" ht="138.75" hidden="false" customHeight="true" outlineLevel="0" collapsed="false">
      <c r="A3" s="14" t="s">
        <v>142</v>
      </c>
      <c r="B3" s="14" t="s">
        <v>135</v>
      </c>
      <c r="C3" s="14" t="s">
        <v>136</v>
      </c>
      <c r="D3" s="14" t="s">
        <v>137</v>
      </c>
      <c r="E3" s="14" t="s">
        <v>31</v>
      </c>
      <c r="F3" s="14" t="s">
        <v>143</v>
      </c>
      <c r="G3" s="14" t="s">
        <v>144</v>
      </c>
      <c r="H3" s="17" t="s">
        <v>145</v>
      </c>
      <c r="I3" s="14" t="s">
        <v>141</v>
      </c>
      <c r="J3" s="14" t="s">
        <v>32</v>
      </c>
    </row>
    <row r="4" customFormat="false" ht="273.75" hidden="false" customHeight="true" outlineLevel="0" collapsed="false">
      <c r="A4" s="14" t="s">
        <v>137</v>
      </c>
      <c r="B4" s="14" t="s">
        <v>137</v>
      </c>
      <c r="C4" s="14" t="s">
        <v>146</v>
      </c>
      <c r="D4" s="14" t="s">
        <v>137</v>
      </c>
      <c r="E4" s="14" t="s">
        <v>31</v>
      </c>
      <c r="F4" s="14" t="s">
        <v>147</v>
      </c>
      <c r="G4" s="14" t="s">
        <v>148</v>
      </c>
      <c r="H4" s="17" t="s">
        <v>149</v>
      </c>
      <c r="I4" s="14" t="s">
        <v>150</v>
      </c>
      <c r="J4" s="14" t="s">
        <v>32</v>
      </c>
    </row>
    <row r="5" customFormat="false" ht="219.75" hidden="false" customHeight="true" outlineLevel="0" collapsed="false">
      <c r="A5" s="14" t="s">
        <v>151</v>
      </c>
      <c r="B5" s="14" t="s">
        <v>151</v>
      </c>
      <c r="C5" s="14" t="s">
        <v>152</v>
      </c>
      <c r="D5" s="14" t="s">
        <v>151</v>
      </c>
      <c r="E5" s="14" t="s">
        <v>153</v>
      </c>
      <c r="F5" s="14" t="s">
        <v>154</v>
      </c>
      <c r="G5" s="14" t="s">
        <v>155</v>
      </c>
      <c r="H5" s="17" t="s">
        <v>156</v>
      </c>
      <c r="I5" s="14" t="s">
        <v>157</v>
      </c>
      <c r="J5" s="14" t="s">
        <v>32</v>
      </c>
    </row>
    <row r="6" customFormat="false" ht="327.75" hidden="false" customHeight="true" outlineLevel="0" collapsed="false">
      <c r="A6" s="14" t="s">
        <v>158</v>
      </c>
      <c r="B6" s="14" t="s">
        <v>158</v>
      </c>
      <c r="C6" s="14" t="s">
        <v>159</v>
      </c>
      <c r="D6" s="14" t="s">
        <v>151</v>
      </c>
      <c r="E6" s="14" t="s">
        <v>153</v>
      </c>
      <c r="F6" s="14" t="s">
        <v>160</v>
      </c>
      <c r="G6" s="14" t="s">
        <v>161</v>
      </c>
      <c r="H6" s="17" t="s">
        <v>162</v>
      </c>
      <c r="I6" s="14" t="s">
        <v>163</v>
      </c>
      <c r="J6" s="14" t="s">
        <v>32</v>
      </c>
    </row>
    <row r="7" customFormat="false" ht="287.25" hidden="false" customHeight="true" outlineLevel="0" collapsed="false">
      <c r="A7" s="14" t="s">
        <v>164</v>
      </c>
      <c r="B7" s="14" t="s">
        <v>164</v>
      </c>
      <c r="C7" s="14" t="s">
        <v>165</v>
      </c>
      <c r="D7" s="14" t="s">
        <v>158</v>
      </c>
      <c r="E7" s="14" t="s">
        <v>153</v>
      </c>
      <c r="F7" s="14" t="s">
        <v>166</v>
      </c>
      <c r="G7" s="14" t="s">
        <v>167</v>
      </c>
      <c r="H7" s="17" t="s">
        <v>168</v>
      </c>
      <c r="I7" s="14" t="s">
        <v>169</v>
      </c>
      <c r="J7" s="14" t="s">
        <v>32</v>
      </c>
    </row>
    <row r="8" customFormat="false" ht="179.25" hidden="false" customHeight="true" outlineLevel="0" collapsed="false">
      <c r="A8" s="14" t="s">
        <v>170</v>
      </c>
      <c r="B8" s="14" t="s">
        <v>171</v>
      </c>
      <c r="C8" s="14" t="s">
        <v>172</v>
      </c>
      <c r="D8" s="14" t="s">
        <v>158</v>
      </c>
      <c r="E8" s="14" t="s">
        <v>153</v>
      </c>
      <c r="F8" s="14" t="s">
        <v>173</v>
      </c>
      <c r="G8" s="14" t="s">
        <v>174</v>
      </c>
      <c r="H8" s="17" t="s">
        <v>175</v>
      </c>
      <c r="I8" s="14" t="s">
        <v>176</v>
      </c>
      <c r="J8" s="14" t="s">
        <v>32</v>
      </c>
    </row>
    <row r="9" customFormat="false" ht="408.75" hidden="false" customHeight="true" outlineLevel="0" collapsed="false">
      <c r="A9" s="14" t="s">
        <v>177</v>
      </c>
      <c r="B9" s="14" t="s">
        <v>171</v>
      </c>
      <c r="C9" s="14" t="s">
        <v>178</v>
      </c>
      <c r="D9" s="14" t="s">
        <v>179</v>
      </c>
      <c r="E9" s="14" t="s">
        <v>153</v>
      </c>
      <c r="F9" s="14" t="s">
        <v>180</v>
      </c>
      <c r="G9" s="14" t="s">
        <v>181</v>
      </c>
      <c r="H9" s="17" t="s">
        <v>182</v>
      </c>
      <c r="I9" s="14" t="s">
        <v>183</v>
      </c>
      <c r="J9" s="14" t="s">
        <v>32</v>
      </c>
    </row>
    <row r="10" customFormat="false" ht="165.75" hidden="false" customHeight="true" outlineLevel="0" collapsed="false">
      <c r="A10" s="14" t="s">
        <v>184</v>
      </c>
      <c r="B10" s="14" t="s">
        <v>184</v>
      </c>
      <c r="C10" s="14" t="s">
        <v>185</v>
      </c>
      <c r="D10" s="14" t="s">
        <v>164</v>
      </c>
      <c r="E10" s="14" t="s">
        <v>153</v>
      </c>
      <c r="F10" s="14" t="s">
        <v>186</v>
      </c>
      <c r="G10" s="14" t="s">
        <v>187</v>
      </c>
      <c r="H10" s="17" t="s">
        <v>188</v>
      </c>
      <c r="I10" s="14" t="s">
        <v>189</v>
      </c>
      <c r="J10" s="14" t="s">
        <v>32</v>
      </c>
    </row>
    <row r="11" customFormat="false" ht="341.25" hidden="false" customHeight="true" outlineLevel="0" collapsed="false">
      <c r="A11" s="14" t="s">
        <v>115</v>
      </c>
      <c r="B11" s="14" t="s">
        <v>115</v>
      </c>
      <c r="C11" s="14" t="s">
        <v>190</v>
      </c>
      <c r="D11" s="14" t="s">
        <v>171</v>
      </c>
      <c r="E11" s="14" t="s">
        <v>153</v>
      </c>
      <c r="F11" s="14" t="s">
        <v>191</v>
      </c>
      <c r="G11" s="14" t="s">
        <v>192</v>
      </c>
      <c r="H11" s="17" t="s">
        <v>193</v>
      </c>
      <c r="I11" s="14" t="s">
        <v>194</v>
      </c>
      <c r="J11" s="14" t="s">
        <v>32</v>
      </c>
    </row>
    <row r="12" customFormat="false" ht="179.25" hidden="false" customHeight="true" outlineLevel="0" collapsed="false">
      <c r="A12" s="14" t="s">
        <v>195</v>
      </c>
      <c r="B12" s="14" t="s">
        <v>195</v>
      </c>
      <c r="C12" s="14" t="s">
        <v>196</v>
      </c>
      <c r="D12" s="14" t="s">
        <v>184</v>
      </c>
      <c r="E12" s="14" t="s">
        <v>197</v>
      </c>
      <c r="F12" s="14" t="s">
        <v>198</v>
      </c>
      <c r="G12" s="14" t="s">
        <v>199</v>
      </c>
      <c r="H12" s="17" t="s">
        <v>200</v>
      </c>
      <c r="I12" s="14" t="s">
        <v>201</v>
      </c>
      <c r="J12" s="14" t="s">
        <v>32</v>
      </c>
    </row>
    <row r="13" customFormat="false" ht="287.25" hidden="false" customHeight="true" outlineLevel="0" collapsed="false">
      <c r="A13" s="14" t="s">
        <v>202</v>
      </c>
      <c r="B13" s="14" t="s">
        <v>202</v>
      </c>
      <c r="C13" s="14" t="s">
        <v>203</v>
      </c>
      <c r="D13" s="14" t="s">
        <v>184</v>
      </c>
      <c r="E13" s="14" t="s">
        <v>197</v>
      </c>
      <c r="F13" s="14" t="s">
        <v>204</v>
      </c>
      <c r="G13" s="14" t="s">
        <v>205</v>
      </c>
      <c r="H13" s="17" t="s">
        <v>206</v>
      </c>
      <c r="I13" s="14" t="s">
        <v>207</v>
      </c>
      <c r="J13" s="14" t="s">
        <v>32</v>
      </c>
    </row>
    <row r="14" customFormat="false" ht="273.75" hidden="false" customHeight="true" outlineLevel="0" collapsed="false">
      <c r="A14" s="14" t="s">
        <v>119</v>
      </c>
      <c r="B14" s="14" t="s">
        <v>119</v>
      </c>
      <c r="C14" s="14" t="s">
        <v>120</v>
      </c>
      <c r="D14" s="14" t="s">
        <v>115</v>
      </c>
      <c r="E14" s="14" t="s">
        <v>197</v>
      </c>
      <c r="F14" s="14" t="s">
        <v>208</v>
      </c>
      <c r="G14" s="14" t="s">
        <v>209</v>
      </c>
      <c r="H14" s="17" t="s">
        <v>210</v>
      </c>
      <c r="I14" s="14" t="s">
        <v>211</v>
      </c>
      <c r="J14" s="14" t="s">
        <v>32</v>
      </c>
    </row>
    <row r="15" customFormat="false" ht="287.25" hidden="false" customHeight="true" outlineLevel="0" collapsed="false">
      <c r="A15" s="14" t="s">
        <v>121</v>
      </c>
      <c r="B15" s="14" t="s">
        <v>121</v>
      </c>
      <c r="C15" s="14" t="s">
        <v>212</v>
      </c>
      <c r="D15" s="14" t="s">
        <v>195</v>
      </c>
      <c r="E15" s="14" t="s">
        <v>197</v>
      </c>
      <c r="F15" s="14" t="s">
        <v>213</v>
      </c>
      <c r="G15" s="14" t="s">
        <v>214</v>
      </c>
      <c r="H15" s="17" t="s">
        <v>215</v>
      </c>
      <c r="I15" s="14" t="s">
        <v>216</v>
      </c>
      <c r="J15" s="14" t="s">
        <v>32</v>
      </c>
    </row>
    <row r="16" customFormat="false" ht="179.25" hidden="false" customHeight="true" outlineLevel="0" collapsed="false">
      <c r="A16" s="14" t="s">
        <v>217</v>
      </c>
      <c r="B16" s="14" t="s">
        <v>123</v>
      </c>
      <c r="C16" s="14" t="s">
        <v>218</v>
      </c>
      <c r="D16" s="14" t="s">
        <v>202</v>
      </c>
      <c r="E16" s="14" t="s">
        <v>31</v>
      </c>
      <c r="F16" s="14" t="s">
        <v>219</v>
      </c>
      <c r="G16" s="14" t="s">
        <v>220</v>
      </c>
      <c r="H16" s="17" t="s">
        <v>221</v>
      </c>
      <c r="I16" s="14" t="s">
        <v>222</v>
      </c>
      <c r="J16" s="14" t="s">
        <v>32</v>
      </c>
    </row>
    <row r="17" customFormat="false" ht="98.25" hidden="false" customHeight="true" outlineLevel="0" collapsed="false">
      <c r="A17" s="14" t="s">
        <v>223</v>
      </c>
      <c r="B17" s="14" t="s">
        <v>123</v>
      </c>
      <c r="C17" s="14" t="s">
        <v>224</v>
      </c>
      <c r="D17" s="14" t="s">
        <v>202</v>
      </c>
      <c r="E17" s="14" t="s">
        <v>153</v>
      </c>
      <c r="F17" s="14" t="s">
        <v>225</v>
      </c>
      <c r="G17" s="14" t="s">
        <v>226</v>
      </c>
      <c r="H17" s="17" t="s">
        <v>227</v>
      </c>
      <c r="I17" s="14" t="s">
        <v>228</v>
      </c>
      <c r="J17" s="14" t="s">
        <v>32</v>
      </c>
    </row>
    <row r="18" customFormat="false" ht="84.75" hidden="false" customHeight="true" outlineLevel="0" collapsed="false">
      <c r="A18" s="14" t="s">
        <v>229</v>
      </c>
      <c r="B18" s="14" t="s">
        <v>123</v>
      </c>
      <c r="C18" s="14" t="s">
        <v>230</v>
      </c>
      <c r="D18" s="14" t="s">
        <v>202</v>
      </c>
      <c r="E18" s="14" t="s">
        <v>31</v>
      </c>
      <c r="F18" s="14" t="s">
        <v>231</v>
      </c>
      <c r="G18" s="14" t="s">
        <v>232</v>
      </c>
      <c r="H18" s="17" t="s">
        <v>233</v>
      </c>
      <c r="I18" s="14" t="s">
        <v>234</v>
      </c>
      <c r="J18" s="14" t="s">
        <v>32</v>
      </c>
    </row>
    <row r="19" customFormat="false" ht="71.25" hidden="false" customHeight="true" outlineLevel="0" collapsed="false">
      <c r="A19" s="14" t="s">
        <v>235</v>
      </c>
      <c r="B19" s="14" t="s">
        <v>125</v>
      </c>
      <c r="C19" s="14" t="s">
        <v>236</v>
      </c>
      <c r="D19" s="14" t="s">
        <v>119</v>
      </c>
      <c r="E19" s="14" t="s">
        <v>31</v>
      </c>
      <c r="F19" s="14" t="s">
        <v>237</v>
      </c>
      <c r="G19" s="14" t="s">
        <v>238</v>
      </c>
      <c r="H19" s="17" t="s">
        <v>239</v>
      </c>
      <c r="I19" s="14" t="s">
        <v>240</v>
      </c>
      <c r="J19" s="14" t="s">
        <v>32</v>
      </c>
    </row>
    <row r="20" customFormat="false" ht="84.75" hidden="false" customHeight="true" outlineLevel="0" collapsed="false">
      <c r="A20" s="14" t="s">
        <v>241</v>
      </c>
      <c r="B20" s="14" t="s">
        <v>125</v>
      </c>
      <c r="C20" s="14" t="s">
        <v>242</v>
      </c>
      <c r="D20" s="14" t="s">
        <v>119</v>
      </c>
      <c r="E20" s="14" t="s">
        <v>31</v>
      </c>
      <c r="F20" s="14" t="s">
        <v>243</v>
      </c>
      <c r="G20" s="14" t="s">
        <v>244</v>
      </c>
      <c r="H20" s="17" t="s">
        <v>245</v>
      </c>
      <c r="I20" s="14" t="s">
        <v>246</v>
      </c>
      <c r="J20" s="14" t="s">
        <v>32</v>
      </c>
    </row>
  </sheetData>
  <conditionalFormatting sqref="J2:J20">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true" errorStyle="stop" operator="between" showDropDown="false" showErrorMessage="false" showInputMessage="false" sqref="J2:J20"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16"/>
    <col collapsed="false" customWidth="true" hidden="false" outlineLevel="0" max="4" min="4" style="0" width="12"/>
    <col collapsed="false" customWidth="true" hidden="false" outlineLevel="0" max="5" min="5" style="0" width="48"/>
    <col collapsed="false" customWidth="true" hidden="false" outlineLevel="0" max="6" min="6" style="0" width="14"/>
  </cols>
  <sheetData>
    <row r="1" customFormat="false" ht="24" hidden="false" customHeight="true" outlineLevel="0" collapsed="false">
      <c r="A1" s="13" t="s">
        <v>247</v>
      </c>
      <c r="B1" s="13" t="s">
        <v>248</v>
      </c>
      <c r="C1" s="13" t="s">
        <v>249</v>
      </c>
      <c r="D1" s="13" t="s">
        <v>250</v>
      </c>
      <c r="E1" s="13" t="s">
        <v>251</v>
      </c>
      <c r="F1" s="13" t="s">
        <v>252</v>
      </c>
    </row>
    <row r="2" customFormat="false" ht="18" hidden="false" customHeight="true" outlineLevel="0" collapsed="false">
      <c r="A2" s="14" t="s">
        <v>253</v>
      </c>
      <c r="B2" s="14" t="s">
        <v>254</v>
      </c>
      <c r="C2" s="14" t="s">
        <v>255</v>
      </c>
      <c r="D2" s="14" t="s">
        <v>256</v>
      </c>
      <c r="E2" s="14" t="s">
        <v>257</v>
      </c>
      <c r="F2" s="14" t="s">
        <v>258</v>
      </c>
    </row>
    <row r="3" customFormat="false" ht="18" hidden="false" customHeight="true" outlineLevel="0" collapsed="false">
      <c r="A3" s="14" t="s">
        <v>253</v>
      </c>
      <c r="B3" s="14" t="s">
        <v>259</v>
      </c>
      <c r="C3" s="14" t="s">
        <v>255</v>
      </c>
      <c r="D3" s="14" t="s">
        <v>256</v>
      </c>
      <c r="E3" s="14" t="s">
        <v>260</v>
      </c>
      <c r="F3" s="14" t="s">
        <v>258</v>
      </c>
    </row>
    <row r="4" customFormat="false" ht="18" hidden="false" customHeight="true" outlineLevel="0" collapsed="false">
      <c r="A4" s="14" t="s">
        <v>253</v>
      </c>
      <c r="B4" s="14" t="s">
        <v>261</v>
      </c>
      <c r="C4" s="14" t="s">
        <v>262</v>
      </c>
      <c r="D4" s="14" t="s">
        <v>256</v>
      </c>
      <c r="E4" s="14" t="s">
        <v>263</v>
      </c>
      <c r="F4" s="14" t="s">
        <v>258</v>
      </c>
    </row>
    <row r="5" customFormat="false" ht="18" hidden="false" customHeight="true" outlineLevel="0" collapsed="false">
      <c r="A5" s="14" t="s">
        <v>264</v>
      </c>
      <c r="B5" s="14" t="s">
        <v>265</v>
      </c>
      <c r="C5" s="14" t="s">
        <v>266</v>
      </c>
      <c r="D5" s="14" t="s">
        <v>256</v>
      </c>
      <c r="E5" s="14" t="s">
        <v>267</v>
      </c>
      <c r="F5" s="14" t="s">
        <v>258</v>
      </c>
    </row>
    <row r="6" customFormat="false" ht="18" hidden="false" customHeight="true" outlineLevel="0" collapsed="false">
      <c r="A6" s="14" t="s">
        <v>268</v>
      </c>
      <c r="B6" s="14" t="s">
        <v>269</v>
      </c>
      <c r="C6" s="14" t="s">
        <v>255</v>
      </c>
      <c r="D6" s="14" t="s">
        <v>256</v>
      </c>
      <c r="E6" s="14" t="s">
        <v>270</v>
      </c>
      <c r="F6" s="14" t="s">
        <v>258</v>
      </c>
    </row>
    <row r="7" customFormat="false" ht="18" hidden="false" customHeight="true" outlineLevel="0" collapsed="false">
      <c r="A7" s="14" t="s">
        <v>268</v>
      </c>
      <c r="B7" s="14" t="s">
        <v>271</v>
      </c>
      <c r="C7" s="14" t="s">
        <v>262</v>
      </c>
      <c r="D7" s="14" t="s">
        <v>256</v>
      </c>
      <c r="E7" s="14" t="s">
        <v>272</v>
      </c>
      <c r="F7" s="14" t="s">
        <v>258</v>
      </c>
    </row>
    <row r="8" customFormat="false" ht="18" hidden="false" customHeight="true" outlineLevel="0" collapsed="false">
      <c r="A8" s="14" t="s">
        <v>268</v>
      </c>
      <c r="B8" s="14" t="s">
        <v>273</v>
      </c>
      <c r="C8" s="14" t="s">
        <v>255</v>
      </c>
      <c r="D8" s="14" t="s">
        <v>256</v>
      </c>
      <c r="E8" s="14" t="s">
        <v>274</v>
      </c>
      <c r="F8" s="14" t="s">
        <v>258</v>
      </c>
    </row>
    <row r="9" customFormat="false" ht="18" hidden="false" customHeight="true" outlineLevel="0" collapsed="false">
      <c r="A9" s="14" t="s">
        <v>275</v>
      </c>
      <c r="B9" s="14" t="s">
        <v>276</v>
      </c>
      <c r="C9" s="14" t="s">
        <v>266</v>
      </c>
      <c r="D9" s="14" t="s">
        <v>256</v>
      </c>
      <c r="E9" s="14" t="s">
        <v>277</v>
      </c>
      <c r="F9" s="14" t="s">
        <v>258</v>
      </c>
    </row>
    <row r="10" customFormat="false" ht="18" hidden="false" customHeight="true" outlineLevel="0" collapsed="false">
      <c r="A10" s="14" t="s">
        <v>278</v>
      </c>
      <c r="B10" s="14" t="s">
        <v>279</v>
      </c>
      <c r="C10" s="14" t="s">
        <v>266</v>
      </c>
      <c r="D10" s="14" t="s">
        <v>256</v>
      </c>
      <c r="E10" s="14" t="s">
        <v>280</v>
      </c>
      <c r="F10" s="14" t="s">
        <v>258</v>
      </c>
    </row>
    <row r="11" customFormat="false" ht="18" hidden="false" customHeight="true" outlineLevel="0" collapsed="false">
      <c r="A11" s="14" t="s">
        <v>281</v>
      </c>
      <c r="B11" s="14" t="s">
        <v>282</v>
      </c>
      <c r="C11" s="14" t="s">
        <v>262</v>
      </c>
      <c r="D11" s="14" t="s">
        <v>281</v>
      </c>
      <c r="E11" s="14" t="s">
        <v>281</v>
      </c>
      <c r="F11" s="14" t="s">
        <v>258</v>
      </c>
    </row>
    <row r="12" customFormat="false" ht="18" hidden="false" customHeight="true" outlineLevel="0" collapsed="false">
      <c r="A12" s="14" t="s">
        <v>281</v>
      </c>
      <c r="B12" s="14" t="s">
        <v>283</v>
      </c>
      <c r="C12" s="14" t="s">
        <v>262</v>
      </c>
      <c r="D12" s="14" t="s">
        <v>281</v>
      </c>
      <c r="E12" s="14" t="s">
        <v>281</v>
      </c>
      <c r="F12" s="14" t="s">
        <v>258</v>
      </c>
    </row>
    <row r="13" customFormat="false" ht="18" hidden="false" customHeight="true" outlineLevel="0" collapsed="false">
      <c r="A13" s="14" t="s">
        <v>281</v>
      </c>
      <c r="B13" s="14" t="s">
        <v>284</v>
      </c>
      <c r="C13" s="14" t="s">
        <v>255</v>
      </c>
      <c r="D13" s="14" t="s">
        <v>281</v>
      </c>
      <c r="E13" s="14" t="s">
        <v>285</v>
      </c>
      <c r="F13" s="14" t="s">
        <v>258</v>
      </c>
    </row>
    <row r="14" customFormat="false" ht="18" hidden="false" customHeight="true" outlineLevel="0" collapsed="false">
      <c r="A14" s="14" t="s">
        <v>281</v>
      </c>
      <c r="B14" s="14" t="s">
        <v>286</v>
      </c>
      <c r="C14" s="14" t="s">
        <v>255</v>
      </c>
      <c r="D14" s="14" t="s">
        <v>281</v>
      </c>
      <c r="E14" s="14" t="s">
        <v>287</v>
      </c>
      <c r="F14" s="14" t="s">
        <v>258</v>
      </c>
    </row>
  </sheetData>
  <conditionalFormatting sqref="F2:F14">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true" errorStyle="stop" operator="between" showDropDown="false" showErrorMessage="false" showInputMessage="false" sqref="F2:F14" type="list">
      <formula1>"No,Yes"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90"/>
  </cols>
  <sheetData>
    <row r="1" customFormat="false" ht="24" hidden="false" customHeight="true" outlineLevel="0" collapsed="false">
      <c r="A1" s="13" t="s">
        <v>288</v>
      </c>
      <c r="B1" s="13" t="s">
        <v>289</v>
      </c>
    </row>
    <row r="2" customFormat="false" ht="30.75" hidden="false" customHeight="true" outlineLevel="0" collapsed="false">
      <c r="A2" s="14" t="s">
        <v>290</v>
      </c>
      <c r="B2" s="14" t="s">
        <v>291</v>
      </c>
    </row>
    <row r="3" customFormat="false" ht="18" hidden="false" customHeight="true" outlineLevel="0" collapsed="false">
      <c r="A3" s="14" t="s">
        <v>292</v>
      </c>
      <c r="B3" s="14" t="s">
        <v>293</v>
      </c>
    </row>
    <row r="4" customFormat="false" ht="18" hidden="false" customHeight="true" outlineLevel="0" collapsed="false">
      <c r="A4" s="14" t="s">
        <v>294</v>
      </c>
      <c r="B4" s="14" t="s">
        <v>295</v>
      </c>
    </row>
    <row r="5" customFormat="false" ht="18" hidden="false" customHeight="true" outlineLevel="0" collapsed="false">
      <c r="A5" s="14" t="s">
        <v>296</v>
      </c>
      <c r="B5" s="14" t="s">
        <v>297</v>
      </c>
    </row>
    <row r="6" customFormat="false" ht="18" hidden="false" customHeight="true" outlineLevel="0" collapsed="false">
      <c r="A6" s="14" t="s">
        <v>298</v>
      </c>
      <c r="B6" s="14" t="s">
        <v>299</v>
      </c>
    </row>
    <row r="7" customFormat="false" ht="18" hidden="false" customHeight="true" outlineLevel="0" collapsed="false">
      <c r="A7" s="14" t="s">
        <v>300</v>
      </c>
      <c r="B7" s="14" t="s">
        <v>301</v>
      </c>
    </row>
    <row r="8" customFormat="false" ht="18" hidden="false" customHeight="true" outlineLevel="0" collapsed="false">
      <c r="A8" s="14" t="s">
        <v>302</v>
      </c>
      <c r="B8" s="14"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 collapsed="false" customWidth="true" hidden="false" outlineLevel="0" max="3" min="3" style="0" width="14"/>
  </cols>
  <sheetData>
    <row r="1" customFormat="false" ht="24" hidden="false" customHeight="true" outlineLevel="0" collapsed="false">
      <c r="A1" s="13" t="s">
        <v>304</v>
      </c>
      <c r="B1" s="13" t="s">
        <v>24</v>
      </c>
      <c r="C1" s="13" t="s">
        <v>27</v>
      </c>
    </row>
    <row r="2" customFormat="false" ht="18" hidden="false" customHeight="true" outlineLevel="0" collapsed="false">
      <c r="A2" s="14" t="s">
        <v>305</v>
      </c>
      <c r="B2" s="14" t="s">
        <v>306</v>
      </c>
      <c r="C2" s="14" t="s">
        <v>32</v>
      </c>
    </row>
    <row r="3" customFormat="false" ht="18" hidden="false" customHeight="true" outlineLevel="0" collapsed="false">
      <c r="A3" s="14" t="s">
        <v>305</v>
      </c>
      <c r="B3" s="14" t="s">
        <v>307</v>
      </c>
      <c r="C3" s="14" t="s">
        <v>32</v>
      </c>
    </row>
    <row r="4" customFormat="false" ht="18" hidden="false" customHeight="true" outlineLevel="0" collapsed="false">
      <c r="A4" s="14" t="s">
        <v>305</v>
      </c>
      <c r="B4" s="14" t="s">
        <v>308</v>
      </c>
      <c r="C4" s="14" t="s">
        <v>32</v>
      </c>
    </row>
    <row r="5" customFormat="false" ht="30.75" hidden="false" customHeight="true" outlineLevel="0" collapsed="false">
      <c r="A5" s="14" t="s">
        <v>305</v>
      </c>
      <c r="B5" s="14" t="s">
        <v>309</v>
      </c>
      <c r="C5" s="14" t="s">
        <v>32</v>
      </c>
    </row>
    <row r="6" customFormat="false" ht="18" hidden="false" customHeight="true" outlineLevel="0" collapsed="false">
      <c r="A6" s="14" t="s">
        <v>305</v>
      </c>
      <c r="B6" s="14" t="s">
        <v>310</v>
      </c>
      <c r="C6" s="14" t="s">
        <v>32</v>
      </c>
    </row>
    <row r="7" customFormat="false" ht="18" hidden="false" customHeight="true" outlineLevel="0" collapsed="false">
      <c r="A7" s="14" t="s">
        <v>305</v>
      </c>
      <c r="B7" s="14" t="s">
        <v>311</v>
      </c>
      <c r="C7" s="14" t="s">
        <v>32</v>
      </c>
    </row>
    <row r="8" customFormat="false" ht="18" hidden="false" customHeight="true" outlineLevel="0" collapsed="false">
      <c r="A8" s="14" t="s">
        <v>312</v>
      </c>
      <c r="B8" s="14" t="s">
        <v>313</v>
      </c>
      <c r="C8" s="14" t="s">
        <v>32</v>
      </c>
    </row>
    <row r="9" customFormat="false" ht="18" hidden="false" customHeight="true" outlineLevel="0" collapsed="false">
      <c r="A9" s="14" t="s">
        <v>312</v>
      </c>
      <c r="B9" s="14" t="s">
        <v>314</v>
      </c>
      <c r="C9" s="14" t="s">
        <v>32</v>
      </c>
    </row>
    <row r="10" customFormat="false" ht="18" hidden="false" customHeight="true" outlineLevel="0" collapsed="false">
      <c r="A10" s="14" t="s">
        <v>312</v>
      </c>
      <c r="B10" s="14" t="s">
        <v>315</v>
      </c>
      <c r="C10" s="14" t="s">
        <v>32</v>
      </c>
    </row>
    <row r="11" customFormat="false" ht="18" hidden="false" customHeight="true" outlineLevel="0" collapsed="false">
      <c r="A11" s="14" t="s">
        <v>312</v>
      </c>
      <c r="B11" s="14" t="s">
        <v>316</v>
      </c>
      <c r="C11" s="14" t="s">
        <v>32</v>
      </c>
    </row>
    <row r="12" customFormat="false" ht="18" hidden="false" customHeight="true" outlineLevel="0" collapsed="false">
      <c r="A12" s="14" t="s">
        <v>312</v>
      </c>
      <c r="B12" s="14" t="s">
        <v>317</v>
      </c>
      <c r="C12" s="14" t="s">
        <v>32</v>
      </c>
    </row>
    <row r="13" customFormat="false" ht="18" hidden="false" customHeight="true" outlineLevel="0" collapsed="false">
      <c r="A13" s="14" t="s">
        <v>312</v>
      </c>
      <c r="B13" s="14" t="s">
        <v>318</v>
      </c>
      <c r="C13" s="14" t="s">
        <v>32</v>
      </c>
    </row>
  </sheetData>
  <conditionalFormatting sqref="C2:C13">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true" errorStyle="stop" operator="between" showDropDown="false" showErrorMessage="false" showInputMessage="false" sqref="C2:C13"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3" t="s">
        <v>319</v>
      </c>
    </row>
    <row r="3" customFormat="false" ht="15" hidden="false" customHeight="false" outlineLevel="0" collapsed="false">
      <c r="A3" s="18" t="s">
        <v>320</v>
      </c>
    </row>
    <row r="4" customFormat="false" ht="15" hidden="false" customHeight="false" outlineLevel="0" collapsed="false">
      <c r="A4" s="18" t="s">
        <v>321</v>
      </c>
    </row>
    <row r="5" customFormat="false" ht="15" hidden="false" customHeight="false" outlineLevel="0" collapsed="false">
      <c r="A5" s="18" t="s">
        <v>322</v>
      </c>
    </row>
    <row r="6" customFormat="false" ht="15" hidden="false" customHeight="false" outlineLevel="0" collapsed="false">
      <c r="A6" s="18" t="s">
        <v>323</v>
      </c>
    </row>
    <row r="7" customFormat="false" ht="15" hidden="false" customHeight="false" outlineLevel="0" collapsed="false">
      <c r="A7" s="18" t="s">
        <v>324</v>
      </c>
    </row>
    <row r="8" customFormat="false" ht="15" hidden="false" customHeight="false" outlineLevel="0" collapsed="false">
      <c r="A8" s="18" t="s">
        <v>325</v>
      </c>
    </row>
    <row r="9" customFormat="false" ht="15" hidden="false" customHeight="false" outlineLevel="0" collapsed="false">
      <c r="A9" s="18" t="s">
        <v>326</v>
      </c>
    </row>
    <row r="10" customFormat="false" ht="15" hidden="false" customHeight="false" outlineLevel="0" collapsed="false">
      <c r="A10" s="18" t="s">
        <v>327</v>
      </c>
    </row>
    <row r="11" customFormat="false" ht="15" hidden="false" customHeight="false" outlineLevel="0" collapsed="false">
      <c r="A11" s="18" t="s">
        <v>328</v>
      </c>
    </row>
    <row r="12" customFormat="false" ht="15" hidden="false" customHeight="false" outlineLevel="0" collapsed="false">
      <c r="A12" s="18" t="s">
        <v>329</v>
      </c>
    </row>
    <row r="13" customFormat="false" ht="15" hidden="false" customHeight="false" outlineLevel="0" collapsed="false">
      <c r="A13" s="18" t="s">
        <v>330</v>
      </c>
    </row>
    <row r="14" customFormat="false" ht="15" hidden="false" customHeight="false" outlineLevel="0" collapsed="false">
      <c r="A14" s="18" t="s">
        <v>331</v>
      </c>
    </row>
    <row r="15" customFormat="false" ht="15" hidden="false" customHeight="false" outlineLevel="0" collapsed="false">
      <c r="A15" s="18" t="s">
        <v>332</v>
      </c>
    </row>
    <row r="16" customFormat="false" ht="15" hidden="false" customHeight="false" outlineLevel="0" collapsed="false">
      <c r="A16" s="18" t="s">
        <v>333</v>
      </c>
    </row>
    <row r="17" customFormat="false" ht="15" hidden="false" customHeight="false" outlineLevel="0" collapsed="false">
      <c r="A17" s="18" t="s">
        <v>334</v>
      </c>
    </row>
    <row r="18" customFormat="false" ht="15" hidden="false" customHeight="false" outlineLevel="0" collapsed="false">
      <c r="A18" s="18" t="s">
        <v>335</v>
      </c>
    </row>
    <row r="19" customFormat="false" ht="15" hidden="false" customHeight="false" outlineLevel="0" collapsed="false">
      <c r="A19" s="18" t="s">
        <v>336</v>
      </c>
    </row>
    <row r="20" customFormat="false" ht="15" hidden="false" customHeight="false" outlineLevel="0" collapsed="false">
      <c r="A20" s="18" t="s">
        <v>337</v>
      </c>
    </row>
    <row r="21" customFormat="false" ht="15" hidden="false" customHeight="false" outlineLevel="0" collapsed="false">
      <c r="A21" s="18" t="s">
        <v>338</v>
      </c>
    </row>
    <row r="22" customFormat="false" ht="15" hidden="false" customHeight="false" outlineLevel="0" collapsed="false">
      <c r="A22" s="18" t="s">
        <v>339</v>
      </c>
    </row>
    <row r="23" customFormat="false" ht="15" hidden="false" customHeight="false" outlineLevel="0" collapsed="false">
      <c r="A23" s="18" t="s">
        <v>340</v>
      </c>
    </row>
    <row r="24" customFormat="false" ht="15" hidden="false" customHeight="false" outlineLevel="0" collapsed="false">
      <c r="A24" s="18" t="s">
        <v>341</v>
      </c>
    </row>
    <row r="25" customFormat="false" ht="15" hidden="false" customHeight="false" outlineLevel="0" collapsed="false">
      <c r="A25" s="18"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5" hidden="false" customHeight="false" outlineLevel="0" collapsed="false">
      <c r="A1" s="3" t="s">
        <v>343</v>
      </c>
    </row>
    <row r="3" customFormat="false" ht="18" hidden="false" customHeight="true" outlineLevel="0" collapsed="false">
      <c r="A3" s="5" t="n">
        <v>1</v>
      </c>
      <c r="B3" s="19" t="s">
        <v>344</v>
      </c>
    </row>
    <row r="4" customFormat="false" ht="18" hidden="false" customHeight="true" outlineLevel="0" collapsed="false">
      <c r="A4" s="5" t="n">
        <v>2</v>
      </c>
      <c r="B4" s="19" t="s">
        <v>345</v>
      </c>
    </row>
    <row r="5" customFormat="false" ht="18" hidden="false" customHeight="true" outlineLevel="0" collapsed="false">
      <c r="A5" s="5" t="n">
        <v>3</v>
      </c>
      <c r="B5" s="19" t="s">
        <v>346</v>
      </c>
    </row>
    <row r="6" customFormat="false" ht="30.75" hidden="false" customHeight="true" outlineLevel="0" collapsed="false">
      <c r="A6" s="5" t="n">
        <v>4</v>
      </c>
      <c r="B6" s="19" t="s">
        <v>347</v>
      </c>
    </row>
    <row r="7" customFormat="false" ht="18" hidden="false" customHeight="true" outlineLevel="0" collapsed="false">
      <c r="A7" s="5" t="n">
        <v>5</v>
      </c>
      <c r="B7" s="19" t="s">
        <v>348</v>
      </c>
    </row>
    <row r="8" customFormat="false" ht="18" hidden="false" customHeight="true" outlineLevel="0" collapsed="false">
      <c r="A8" s="5" t="n">
        <v>6</v>
      </c>
      <c r="B8" s="19" t="s">
        <v>349</v>
      </c>
    </row>
    <row r="9" customFormat="false" ht="18" hidden="false" customHeight="true" outlineLevel="0" collapsed="false">
      <c r="A9" s="5" t="n">
        <v>7</v>
      </c>
      <c r="B9" s="19" t="s">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2026-10-03T09:27:59Z</dcterms:created>
  <dc:creator>openpyxl</dc:creator>
  <dc:description/>
  <dc:language>en-US</dc:language>
  <cp:lastModifiedBy/>
  <dcterms:modified xsi:type="dcterms:W3CDTF">2026-10-03T09:27:59Z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